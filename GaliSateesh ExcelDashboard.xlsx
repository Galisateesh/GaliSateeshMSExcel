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Galli.sai kalyan\OneDrive\Desktop\TestingEXCEL\"/>
    </mc:Choice>
  </mc:AlternateContent>
  <xr:revisionPtr revIDLastSave="0" documentId="13_ncr:1_{73577161-9F54-4901-8A45-57E88302C56E}" xr6:coauthVersionLast="47" xr6:coauthVersionMax="47" xr10:uidLastSave="{00000000-0000-0000-0000-000000000000}"/>
  <bookViews>
    <workbookView xWindow="-108" yWindow="-108" windowWidth="23256" windowHeight="12456" activeTab="5" xr2:uid="{00000000-000D-0000-FFFF-FFFF00000000}"/>
  </bookViews>
  <sheets>
    <sheet name="Pivot 1" sheetId="4" r:id="rId1"/>
    <sheet name="Pivot 2" sheetId="5" r:id="rId2"/>
    <sheet name="Pivot 3" sheetId="6" r:id="rId3"/>
    <sheet name="Pivot 4" sheetId="7" r:id="rId4"/>
    <sheet name="Pivot 5" sheetId="9" r:id="rId5"/>
    <sheet name="Main DashBoard" sheetId="10" r:id="rId6"/>
    <sheet name="Production Dataset" sheetId="1" r:id="rId7"/>
  </sheets>
  <definedNames>
    <definedName name="_xlnm._FilterDatabase" localSheetId="6" hidden="1">'Production Dataset'!$A$1:$H$121</definedName>
    <definedName name="Slicer_New_Gender">#N/A</definedName>
    <definedName name="Slicer_ProductType">#N/A</definedName>
    <definedName name="Slicer_Region">#N/A</definedName>
    <definedName name="Slicer_True_Ag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1" i="1" l="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<sst xmlns="http://schemas.openxmlformats.org/spreadsheetml/2006/main" count="529" uniqueCount="38">
  <si>
    <t>ProductionID</t>
  </si>
  <si>
    <t>ProductionDate</t>
  </si>
  <si>
    <t>Region</t>
  </si>
  <si>
    <t>Manager</t>
  </si>
  <si>
    <t>ProductType</t>
  </si>
  <si>
    <t>UnitsProduced</t>
  </si>
  <si>
    <t>TotalCost</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</si>
  <si>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</si>
  <si>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</si>
  <si>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</si>
  <si>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</si>
  <si>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</si>
  <si>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</si>
  <si>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</si>
  <si>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</si>
  <si>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</si>
  <si>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</si>
  <si>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</si>
  <si>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</si>
  <si>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</si>
  <si>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</si>
  <si>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</si>
  <si>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</si>
  <si>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</si>
  <si>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</si>
  <si>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</si>
  <si>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</si>
  <si>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</si>
  <si>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</si>
  <si>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New Gender</t>
  </si>
  <si>
    <t>Row Labels</t>
  </si>
  <si>
    <t>Grand Total</t>
  </si>
  <si>
    <t>Sum of TotalCost</t>
  </si>
  <si>
    <t>Production Cost per Unit</t>
  </si>
  <si>
    <t>Count of ProductionID</t>
  </si>
  <si>
    <t>Average of Production Cost per Unit</t>
  </si>
  <si>
    <t>Sum of UnitsProduced</t>
  </si>
  <si>
    <t>Excel DashBoard Gali Sateesh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</si>
</sst>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 x14ac:knownFonts="1">
    <font>
      <sz val="11"/>
      <color theme="1"/>
      <name val="Calibri"/>
      <family val="2"/>
      <scheme val="minor"/>
    </font>
    <font>
      <sz val="22"/>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2" borderId="0" xfId="0" applyFill="1"/>
    <xf numFmtId="0" fontId="0" fillId="3" borderId="0" xfId="0" applyFill="1"/>
    <xf numFmtId="0" fontId="0" fillId="0" borderId="0" xfId="0" applyAlignment="1">
      <alignment horizontal="center" vertical="center"/>
    </xf>
    <xf numFmtId="0" fontId="1" fillId="2" borderId="0" xfId="0" applyFont="1" applyFill="1" applyAlignment="1">
      <alignment horizontal="center" vertical="center"/>
    </xf>
    <xf numFmtId="0" fontId="0" fillId="2" borderId="0" xfId="0" applyFill="1" applyAlignment="1">
      <alignment horizontal="center"/>
    </xf>
  </cellXfs>
  <cellStyles count="1">
    <cellStyle name="Normal" xfId="0" builtinId="0"/>
  </cellStyles>
  <dxfs count="2">
    <dxf>
      <numFmt numFmtId="164" formatCode="_ * #,##0_ ;_ * \-#,##0_ ;_ * &quot;-&quot;??_ ;_ @_ "/>
    </dxf>
    <dxf>
      <numFmt numFmtId="164" formatCode="_ * #,##0_ ;_ * \-#,##0_ ;_ * &quot;-&quot;??_ ;_ @_ "/>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1!PivotTable2</c:name>
    <c:fmtId val="5"/>
  </c:pivotSource>
  <c:chart>
    <c:title>
      <c:tx>
        <c:rich>
          <a:bodyPr rot="0" spcFirstLastPara="1" vertOverflow="ellipsis" vert="horz" wrap="square" anchor="ctr" anchorCtr="1"/>
          <a:lstStyle/>
          <a:p>
            <a:pPr>
              <a:defRPr sz="1600" b="1" i="0" u="sng" strike="noStrike" kern="1200" baseline="0">
                <a:solidFill>
                  <a:schemeClr val="tx2"/>
                </a:solidFill>
                <a:latin typeface="+mn-lt"/>
                <a:ea typeface="+mn-ea"/>
                <a:cs typeface="+mn-cs"/>
              </a:defRPr>
            </a:pPr>
            <a:r>
              <a:rPr lang="en-US" sz="1400" u="sng">
                <a:solidFill>
                  <a:sysClr val="windowText" lastClr="000000"/>
                </a:solidFill>
              </a:rPr>
              <a:t>Total Production Cost by Production Type</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1.0202070978046071E-16"/>
              <c:y val="-2.7777777777777776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03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12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2.7824151363383415E-3"/>
              <c:y val="-4.6296296296296294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5-0ACE-4AF5-BE0F-F52559EF89FF}"/>
              </c:ext>
            </c:extLst>
          </c:dPt>
          <c:dPt>
            <c:idx val="1"/>
            <c:invertIfNegative val="0"/>
            <c:bubble3D val="0"/>
            <c:extLst>
              <c:ext xmlns:c16="http://schemas.microsoft.com/office/drawing/2014/chart" uri="{C3380CC4-5D6E-409C-BE32-E72D297353CC}">
                <c16:uniqueId val="{00000004-0ACE-4AF5-BE0F-F52559EF89FF}"/>
              </c:ext>
            </c:extLst>
          </c:dPt>
          <c:dPt>
            <c:idx val="2"/>
            <c:invertIfNegative val="0"/>
            <c:bubble3D val="0"/>
            <c:extLst>
              <c:ext xmlns:c16="http://schemas.microsoft.com/office/drawing/2014/chart" uri="{C3380CC4-5D6E-409C-BE32-E72D297353CC}">
                <c16:uniqueId val="{00000003-0ACE-4AF5-BE0F-F52559EF89FF}"/>
              </c:ext>
            </c:extLst>
          </c:dPt>
          <c:dPt>
            <c:idx val="3"/>
            <c:invertIfNegative val="0"/>
            <c:bubble3D val="0"/>
            <c:extLst>
              <c:ext xmlns:c16="http://schemas.microsoft.com/office/drawing/2014/chart" uri="{C3380CC4-5D6E-409C-BE32-E72D297353CC}">
                <c16:uniqueId val="{00000002-0ACE-4AF5-BE0F-F52559EF89FF}"/>
              </c:ext>
            </c:extLst>
          </c:dPt>
          <c:dLbls>
            <c:dLbl>
              <c:idx val="0"/>
              <c:layout>
                <c:manualLayout>
                  <c:x val="-2.7824151363383415E-3"/>
                  <c:y val="-4.6296296296296294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CE-4AF5-BE0F-F52559EF89FF}"/>
                </c:ext>
              </c:extLst>
            </c:dLbl>
            <c:dLbl>
              <c:idx val="1"/>
              <c:layout>
                <c:manualLayout>
                  <c:x val="0"/>
                  <c:y val="-3.703703703703712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CE-4AF5-BE0F-F52559EF89FF}"/>
                </c:ext>
              </c:extLst>
            </c:dLbl>
            <c:dLbl>
              <c:idx val="2"/>
              <c:layout>
                <c:manualLayout>
                  <c:x val="0"/>
                  <c:y val="-3.703703703703703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CE-4AF5-BE0F-F52559EF89FF}"/>
                </c:ext>
              </c:extLst>
            </c:dLbl>
            <c:dLbl>
              <c:idx val="3"/>
              <c:layout>
                <c:manualLayout>
                  <c:x val="-1.0202070978046071E-16"/>
                  <c:y val="-2.7777777777777776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CE-4AF5-BE0F-F52559EF89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0ACE-4AF5-BE0F-F52559EF89FF}"/>
            </c:ext>
          </c:extLst>
        </c:ser>
        <c:dLbls>
          <c:showLegendKey val="0"/>
          <c:showVal val="1"/>
          <c:showCatName val="0"/>
          <c:showSerName val="0"/>
          <c:showPercent val="0"/>
          <c:showBubbleSize val="0"/>
        </c:dLbls>
        <c:gapWidth val="150"/>
        <c:shape val="box"/>
        <c:axId val="1553703248"/>
        <c:axId val="1553694128"/>
        <c:axId val="0"/>
      </c:bar3DChart>
      <c:catAx>
        <c:axId val="1553703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53694128"/>
        <c:crosses val="autoZero"/>
        <c:auto val="1"/>
        <c:lblAlgn val="ctr"/>
        <c:lblOffset val="100"/>
        <c:noMultiLvlLbl val="0"/>
      </c:catAx>
      <c:valAx>
        <c:axId val="1553694128"/>
        <c:scaling>
          <c:orientation val="minMax"/>
        </c:scaling>
        <c:delete val="1"/>
        <c:axPos val="l"/>
        <c:numFmt formatCode="_ * #,##0_ ;_ * \-#,##0_ ;_ * &quot;-&quot;??_ ;_ @_ " sourceLinked="1"/>
        <c:majorTickMark val="none"/>
        <c:minorTickMark val="none"/>
        <c:tickLblPos val="nextTo"/>
        <c:crossAx val="15537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Count</a:t>
            </a:r>
            <a:r>
              <a:rPr lang="en-US" b="1" u="sng" baseline="0">
                <a:solidFill>
                  <a:sysClr val="windowText" lastClr="000000"/>
                </a:solidFill>
              </a:rPr>
              <a:t> Of Units For Each Manager</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75000"/>
            </a:schemeClr>
          </a:solidFill>
          <a:ln>
            <a:noFill/>
          </a:ln>
          <a:effectLst/>
          <a:sp3d/>
        </c:spPr>
      </c:pivotFmt>
      <c:pivotFmt>
        <c:idx val="2"/>
        <c:spPr>
          <a:solidFill>
            <a:schemeClr val="accent2">
              <a:lumMod val="75000"/>
            </a:schemeClr>
          </a:solidFill>
          <a:ln>
            <a:noFill/>
          </a:ln>
          <a:effectLst/>
          <a:sp3d/>
        </c:spPr>
        <c:dLbl>
          <c:idx val="0"/>
          <c:layout>
            <c:manualLayout>
              <c:x val="-2.7777777777777779E-3"/>
              <c:y val="-1.8518518518518517E-2"/>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2">
                <a:lumMod val="75000"/>
              </a:schemeClr>
            </a:solidFill>
            <a:ln>
              <a:noFill/>
            </a:ln>
            <a:effectLst/>
            <a:sp3d/>
          </c:spPr>
          <c:invertIfNegative val="0"/>
          <c:dPt>
            <c:idx val="9"/>
            <c:invertIfNegative val="0"/>
            <c:bubble3D val="0"/>
            <c:extLst>
              <c:ext xmlns:c16="http://schemas.microsoft.com/office/drawing/2014/chart" uri="{C3380CC4-5D6E-409C-BE32-E72D297353CC}">
                <c16:uniqueId val="{00000000-F1DB-491C-AE6B-4344C46B8C11}"/>
              </c:ext>
            </c:extLst>
          </c:dPt>
          <c:dLbls>
            <c:dLbl>
              <c:idx val="9"/>
              <c:layout>
                <c:manualLayout>
                  <c:x val="-2.7777777777777779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DB-491C-AE6B-4344C46B8C11}"/>
                </c:ext>
              </c:extLst>
            </c:dLbl>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0268-43D4-9F23-72C89C7D2ADA}"/>
            </c:ext>
          </c:extLst>
        </c:ser>
        <c:dLbls>
          <c:showLegendKey val="0"/>
          <c:showVal val="0"/>
          <c:showCatName val="0"/>
          <c:showSerName val="0"/>
          <c:showPercent val="0"/>
          <c:showBubbleSize val="0"/>
        </c:dLbls>
        <c:gapWidth val="150"/>
        <c:shape val="box"/>
        <c:axId val="1553691728"/>
        <c:axId val="1553692208"/>
        <c:axId val="0"/>
      </c:bar3DChart>
      <c:catAx>
        <c:axId val="155369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53692208"/>
        <c:crosses val="autoZero"/>
        <c:auto val="1"/>
        <c:lblAlgn val="ctr"/>
        <c:lblOffset val="100"/>
        <c:noMultiLvlLbl val="0"/>
      </c:catAx>
      <c:valAx>
        <c:axId val="1553692208"/>
        <c:scaling>
          <c:orientation val="minMax"/>
        </c:scaling>
        <c:delete val="1"/>
        <c:axPos val="b"/>
        <c:numFmt formatCode="General" sourceLinked="1"/>
        <c:majorTickMark val="none"/>
        <c:minorTickMark val="none"/>
        <c:tickLblPos val="nextTo"/>
        <c:crossAx val="155369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3!PivotTable4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Average</a:t>
            </a:r>
            <a:r>
              <a:rPr lang="en-US" b="1" u="sng" baseline="0">
                <a:solidFill>
                  <a:sysClr val="windowText" lastClr="000000"/>
                </a:solidFill>
              </a:rPr>
              <a:t> Unit Cost By Production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0000"/>
          </a:solidFill>
          <a:ln w="25400">
            <a:solidFill>
              <a:schemeClr val="lt1"/>
            </a:solidFill>
          </a:ln>
          <a:effectLst/>
          <a:sp3d contourW="25400">
            <a:contourClr>
              <a:schemeClr val="lt1"/>
            </a:contourClr>
          </a:sp3d>
        </c:spPr>
      </c:pivotFmt>
      <c:pivotFmt>
        <c:idx val="3"/>
        <c:spPr>
          <a:solidFill>
            <a:schemeClr val="accent1">
              <a:lumMod val="50000"/>
            </a:schemeClr>
          </a:solidFill>
          <a:ln w="25400">
            <a:solidFill>
              <a:schemeClr val="lt1"/>
            </a:solidFill>
          </a:ln>
          <a:effectLst/>
          <a:sp3d contourW="25400">
            <a:contourClr>
              <a:schemeClr val="lt1"/>
            </a:contourClr>
          </a:sp3d>
        </c:spPr>
      </c:pivotFmt>
      <c:pivotFmt>
        <c:idx val="4"/>
        <c:spPr>
          <a:solidFill>
            <a:schemeClr val="accent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3'!$B$3</c:f>
              <c:strCache>
                <c:ptCount val="1"/>
                <c:pt idx="0">
                  <c:v>Total</c:v>
                </c:pt>
              </c:strCache>
            </c:strRef>
          </c:tx>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5170-4448-B399-B107D728F6F5}"/>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70-4448-B399-B107D728F6F5}"/>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2-5170-4448-B399-B107D728F6F5}"/>
              </c:ext>
            </c:extLst>
          </c:dPt>
          <c:dPt>
            <c:idx val="3"/>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70-4448-B399-B107D728F6F5}"/>
              </c:ext>
            </c:extLst>
          </c:dPt>
          <c:dLbls>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3'!$A$4:$A$8</c:f>
              <c:strCache>
                <c:ptCount val="4"/>
                <c:pt idx="0">
                  <c:v>Automobiles</c:v>
                </c:pt>
                <c:pt idx="1">
                  <c:v>Electronics</c:v>
                </c:pt>
                <c:pt idx="2">
                  <c:v>Furniture</c:v>
                </c:pt>
                <c:pt idx="3">
                  <c:v>Machinery</c:v>
                </c:pt>
              </c:strCache>
            </c:strRef>
          </c:cat>
          <c:val>
            <c:numRef>
              <c:f>'Pivot 3'!$B$4:$B$8</c:f>
              <c:numCache>
                <c:formatCode>0</c:formatCode>
                <c:ptCount val="4"/>
                <c:pt idx="0">
                  <c:v>140.87387695413258</c:v>
                </c:pt>
                <c:pt idx="1">
                  <c:v>108.36824651666703</c:v>
                </c:pt>
                <c:pt idx="2">
                  <c:v>180.44103348778611</c:v>
                </c:pt>
                <c:pt idx="3">
                  <c:v>108.97659894637714</c:v>
                </c:pt>
              </c:numCache>
            </c:numRef>
          </c:val>
          <c:extLst>
            <c:ext xmlns:c16="http://schemas.microsoft.com/office/drawing/2014/chart" uri="{C3380CC4-5D6E-409C-BE32-E72D297353CC}">
              <c16:uniqueId val="{00000000-5170-4448-B399-B107D728F6F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rPr>
              <a:t>Units Produced by Region</a:t>
            </a:r>
            <a:endParaRPr lang="en-IN"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4'!$A$4:$A$8</c:f>
              <c:strCache>
                <c:ptCount val="4"/>
                <c:pt idx="0">
                  <c:v>East</c:v>
                </c:pt>
                <c:pt idx="1">
                  <c:v>North</c:v>
                </c:pt>
                <c:pt idx="2">
                  <c:v>South</c:v>
                </c:pt>
                <c:pt idx="3">
                  <c:v>West</c:v>
                </c:pt>
              </c:strCache>
            </c:strRef>
          </c:cat>
          <c:val>
            <c:numRef>
              <c:f>'Pivot 4'!$B$4:$B$8</c:f>
              <c:numCache>
                <c:formatCode>General</c:formatCode>
                <c:ptCount val="4"/>
                <c:pt idx="0">
                  <c:v>4883</c:v>
                </c:pt>
                <c:pt idx="1">
                  <c:v>8037</c:v>
                </c:pt>
                <c:pt idx="2">
                  <c:v>5284</c:v>
                </c:pt>
                <c:pt idx="3">
                  <c:v>16523</c:v>
                </c:pt>
              </c:numCache>
            </c:numRef>
          </c:val>
          <c:extLst>
            <c:ext xmlns:c16="http://schemas.microsoft.com/office/drawing/2014/chart" uri="{C3380CC4-5D6E-409C-BE32-E72D297353CC}">
              <c16:uniqueId val="{00000000-02CE-4780-AD94-120F5BAE4EA3}"/>
            </c:ext>
          </c:extLst>
        </c:ser>
        <c:dLbls>
          <c:showLegendKey val="0"/>
          <c:showVal val="1"/>
          <c:showCatName val="0"/>
          <c:showSerName val="0"/>
          <c:showPercent val="0"/>
          <c:showBubbleSize val="0"/>
        </c:dLbls>
        <c:gapWidth val="182"/>
        <c:shape val="box"/>
        <c:axId val="1779398736"/>
        <c:axId val="1779397776"/>
        <c:axId val="0"/>
      </c:bar3DChart>
      <c:catAx>
        <c:axId val="17793987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79397776"/>
        <c:crosses val="autoZero"/>
        <c:auto val="1"/>
        <c:lblAlgn val="ctr"/>
        <c:lblOffset val="100"/>
        <c:noMultiLvlLbl val="0"/>
      </c:catAx>
      <c:valAx>
        <c:axId val="1779397776"/>
        <c:scaling>
          <c:orientation val="minMax"/>
        </c:scaling>
        <c:delete val="1"/>
        <c:axPos val="b"/>
        <c:numFmt formatCode="General" sourceLinked="1"/>
        <c:majorTickMark val="none"/>
        <c:minorTickMark val="none"/>
        <c:tickLblPos val="nextTo"/>
        <c:crossAx val="177939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5!PivotTable7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rPr>
              <a:t>Age Distribution by Units Produced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5'!$B$3</c:f>
              <c:strCache>
                <c:ptCount val="1"/>
                <c:pt idx="0">
                  <c:v>Total</c:v>
                </c:pt>
              </c:strCache>
            </c:strRef>
          </c:tx>
          <c:spPr>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5'!$A$4:$A$12</c:f>
              <c:strCache>
                <c:ptCount val="8"/>
                <c:pt idx="0">
                  <c:v>25</c:v>
                </c:pt>
                <c:pt idx="1">
                  <c:v>26</c:v>
                </c:pt>
                <c:pt idx="2">
                  <c:v>28</c:v>
                </c:pt>
                <c:pt idx="3">
                  <c:v>36</c:v>
                </c:pt>
                <c:pt idx="4">
                  <c:v>42</c:v>
                </c:pt>
                <c:pt idx="5">
                  <c:v>49</c:v>
                </c:pt>
                <c:pt idx="6">
                  <c:v>52</c:v>
                </c:pt>
                <c:pt idx="7">
                  <c:v>57</c:v>
                </c:pt>
              </c:strCache>
            </c:strRef>
          </c:cat>
          <c:val>
            <c:numRef>
              <c:f>'Pivot 5'!$B$4:$B$12</c:f>
              <c:numCache>
                <c:formatCode>_ * #,##0_ ;_ * \-#,##0_ ;_ * "-"??_ ;_ @_ </c:formatCode>
                <c:ptCount val="8"/>
                <c:pt idx="0">
                  <c:v>5568</c:v>
                </c:pt>
                <c:pt idx="1">
                  <c:v>6157</c:v>
                </c:pt>
                <c:pt idx="2">
                  <c:v>3806</c:v>
                </c:pt>
                <c:pt idx="3">
                  <c:v>1485</c:v>
                </c:pt>
                <c:pt idx="4">
                  <c:v>10562</c:v>
                </c:pt>
                <c:pt idx="5">
                  <c:v>1534</c:v>
                </c:pt>
                <c:pt idx="6">
                  <c:v>2049</c:v>
                </c:pt>
                <c:pt idx="7">
                  <c:v>3566</c:v>
                </c:pt>
              </c:numCache>
            </c:numRef>
          </c:val>
          <c:smooth val="0"/>
          <c:extLst>
            <c:ext xmlns:c16="http://schemas.microsoft.com/office/drawing/2014/chart" uri="{C3380CC4-5D6E-409C-BE32-E72D297353CC}">
              <c16:uniqueId val="{00000000-4593-4A31-AFAC-DF30A7D57743}"/>
            </c:ext>
          </c:extLst>
        </c:ser>
        <c:dLbls>
          <c:dLblPos val="t"/>
          <c:showLegendKey val="0"/>
          <c:showVal val="1"/>
          <c:showCatName val="0"/>
          <c:showSerName val="0"/>
          <c:showPercent val="0"/>
          <c:showBubbleSize val="0"/>
        </c:dLbls>
        <c:marker val="1"/>
        <c:smooth val="0"/>
        <c:axId val="1751528000"/>
        <c:axId val="1746370752"/>
      </c:lineChart>
      <c:catAx>
        <c:axId val="1751528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46370752"/>
        <c:crosses val="autoZero"/>
        <c:auto val="1"/>
        <c:lblAlgn val="ctr"/>
        <c:lblOffset val="100"/>
        <c:noMultiLvlLbl val="0"/>
      </c:catAx>
      <c:valAx>
        <c:axId val="1746370752"/>
        <c:scaling>
          <c:orientation val="minMax"/>
        </c:scaling>
        <c:delete val="1"/>
        <c:axPos val="l"/>
        <c:numFmt formatCode="_ * #,##0_ ;_ * \-#,##0_ ;_ * &quot;-&quot;??_ ;_ @_ " sourceLinked="1"/>
        <c:majorTickMark val="none"/>
        <c:minorTickMark val="none"/>
        <c:tickLblPos val="nextTo"/>
        <c:crossAx val="175152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1!PivotTable2</c:name>
    <c:fmtId val="11"/>
  </c:pivotSource>
  <c:chart>
    <c:title>
      <c:tx>
        <c:rich>
          <a:bodyPr rot="0" spcFirstLastPara="1" vertOverflow="ellipsis" vert="horz" wrap="square" anchor="ctr" anchorCtr="1"/>
          <a:lstStyle/>
          <a:p>
            <a:pPr>
              <a:defRPr sz="1600" b="1" i="0" u="sng" strike="noStrike" kern="1200" baseline="0">
                <a:solidFill>
                  <a:schemeClr val="tx2"/>
                </a:solidFill>
                <a:latin typeface="+mn-lt"/>
                <a:ea typeface="+mn-ea"/>
                <a:cs typeface="+mn-cs"/>
              </a:defRPr>
            </a:pPr>
            <a:r>
              <a:rPr lang="en-US" sz="1400" u="sng">
                <a:solidFill>
                  <a:sysClr val="windowText" lastClr="000000"/>
                </a:solidFill>
              </a:rPr>
              <a:t>Total Production Cost by Production Type</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1.0202070978046071E-16"/>
              <c:y val="-2.7777777777777776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03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12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2.7824151363383415E-3"/>
              <c:y val="-4.6296296296296294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2.7824151363383415E-3"/>
              <c:y val="-4.6296296296296294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12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03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1.0202070978046071E-16"/>
              <c:y val="-2.7777777777777776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2.7824151363383415E-3"/>
              <c:y val="-4.6296296296296294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12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0"/>
              <c:y val="-3.703703703703703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layout>
            <c:manualLayout>
              <c:x val="-1.0202070978046071E-16"/>
              <c:y val="-2.7777777777777776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0-F6DC-4555-A915-650383086904}"/>
              </c:ext>
            </c:extLst>
          </c:dPt>
          <c:dPt>
            <c:idx val="1"/>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1-F6DC-4555-A915-650383086904}"/>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2-F6DC-4555-A915-650383086904}"/>
              </c:ext>
            </c:extLst>
          </c:dPt>
          <c:dPt>
            <c:idx val="3"/>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3-F6DC-4555-A915-650383086904}"/>
              </c:ext>
            </c:extLst>
          </c:dPt>
          <c:dLbls>
            <c:dLbl>
              <c:idx val="0"/>
              <c:layout>
                <c:manualLayout>
                  <c:x val="-2.7824151363383415E-3"/>
                  <c:y val="-4.6296296296296294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DC-4555-A915-650383086904}"/>
                </c:ext>
              </c:extLst>
            </c:dLbl>
            <c:dLbl>
              <c:idx val="1"/>
              <c:layout>
                <c:manualLayout>
                  <c:x val="0"/>
                  <c:y val="-3.703703703703712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DC-4555-A915-650383086904}"/>
                </c:ext>
              </c:extLst>
            </c:dLbl>
            <c:dLbl>
              <c:idx val="2"/>
              <c:layout>
                <c:manualLayout>
                  <c:x val="0"/>
                  <c:y val="-3.7037037037037035E-2"/>
                </c:manualLayout>
              </c:layout>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DC-4555-A915-650383086904}"/>
                </c:ext>
              </c:extLst>
            </c:dLbl>
            <c:dLbl>
              <c:idx val="3"/>
              <c:layout>
                <c:manualLayout>
                  <c:x val="-1.0202070978046071E-16"/>
                  <c:y val="-2.7777777777777776E-2"/>
                </c:manualLayout>
              </c:layout>
              <c:numFmt formatCode="_ * #,##0_ ;_ * \-#,##0_ ;_ * &quot;-&quot;??_ ;_ @_ " sourceLinked="0"/>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DC-4555-A915-650383086904}"/>
                </c:ext>
              </c:extLst>
            </c:dLbl>
            <c:numFmt formatCode="_ * #,##0_ ;_ * \-#,##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4-F6DC-4555-A915-650383086904}"/>
            </c:ext>
          </c:extLst>
        </c:ser>
        <c:dLbls>
          <c:showLegendKey val="0"/>
          <c:showVal val="1"/>
          <c:showCatName val="0"/>
          <c:showSerName val="0"/>
          <c:showPercent val="0"/>
          <c:showBubbleSize val="0"/>
        </c:dLbls>
        <c:gapWidth val="150"/>
        <c:shape val="box"/>
        <c:axId val="1553703248"/>
        <c:axId val="1553694128"/>
        <c:axId val="0"/>
      </c:bar3DChart>
      <c:catAx>
        <c:axId val="1553703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53694128"/>
        <c:crosses val="autoZero"/>
        <c:auto val="1"/>
        <c:lblAlgn val="ctr"/>
        <c:lblOffset val="100"/>
        <c:noMultiLvlLbl val="0"/>
      </c:catAx>
      <c:valAx>
        <c:axId val="1553694128"/>
        <c:scaling>
          <c:orientation val="minMax"/>
        </c:scaling>
        <c:delete val="1"/>
        <c:axPos val="l"/>
        <c:numFmt formatCode="_ * #,##0_ ;_ * \-#,##0_ ;_ * &quot;-&quot;??_ ;_ @_ " sourceLinked="1"/>
        <c:majorTickMark val="none"/>
        <c:minorTickMark val="none"/>
        <c:tickLblPos val="nextTo"/>
        <c:crossAx val="15537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Average</a:t>
            </a:r>
            <a:r>
              <a:rPr lang="en-US" b="1" u="sng" baseline="0">
                <a:solidFill>
                  <a:sysClr val="windowText" lastClr="000000"/>
                </a:solidFill>
              </a:rPr>
              <a:t> Unit Cost By Production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0000"/>
          </a:solidFill>
          <a:ln w="25400">
            <a:solidFill>
              <a:schemeClr val="lt1"/>
            </a:solidFill>
          </a:ln>
          <a:effectLst/>
          <a:sp3d contourW="25400">
            <a:contourClr>
              <a:schemeClr val="lt1"/>
            </a:contourClr>
          </a:sp3d>
        </c:spPr>
      </c:pivotFmt>
      <c:pivotFmt>
        <c:idx val="3"/>
        <c:spPr>
          <a:solidFill>
            <a:schemeClr val="accent1">
              <a:lumMod val="50000"/>
            </a:schemeClr>
          </a:solidFill>
          <a:ln w="25400">
            <a:solidFill>
              <a:schemeClr val="lt1"/>
            </a:solidFill>
          </a:ln>
          <a:effectLst/>
          <a:sp3d contourW="25400">
            <a:contourClr>
              <a:schemeClr val="lt1"/>
            </a:contourClr>
          </a:sp3d>
        </c:spPr>
      </c:pivotFmt>
      <c:pivotFmt>
        <c:idx val="4"/>
        <c:spPr>
          <a:solidFill>
            <a:schemeClr val="accent2">
              <a:lumMod val="5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50000"/>
            </a:schemeClr>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rgbClr val="92D050"/>
          </a:solidFill>
          <a:ln w="25400">
            <a:solidFill>
              <a:schemeClr val="lt1"/>
            </a:solidFill>
          </a:ln>
          <a:effectLst/>
          <a:sp3d contourW="25400">
            <a:contourClr>
              <a:schemeClr val="lt1"/>
            </a:contourClr>
          </a:sp3d>
        </c:spPr>
      </c:pivotFmt>
      <c:pivotFmt>
        <c:idx val="9"/>
        <c:spPr>
          <a:solidFill>
            <a:schemeClr val="accent2">
              <a:lumMod val="5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50000"/>
            </a:schemeClr>
          </a:solidFill>
          <a:ln w="25400">
            <a:solidFill>
              <a:schemeClr val="lt1"/>
            </a:solidFill>
          </a:ln>
          <a:effectLst/>
          <a:sp3d contourW="25400">
            <a:contourClr>
              <a:schemeClr val="lt1"/>
            </a:contourClr>
          </a:sp3d>
        </c:spPr>
      </c:pivotFmt>
      <c:pivotFmt>
        <c:idx val="12"/>
        <c:spPr>
          <a:solidFill>
            <a:srgbClr val="FF0000"/>
          </a:solidFill>
          <a:ln w="25400">
            <a:solidFill>
              <a:schemeClr val="lt1"/>
            </a:solidFill>
          </a:ln>
          <a:effectLst/>
          <a:sp3d contourW="25400">
            <a:contourClr>
              <a:schemeClr val="lt1"/>
            </a:contourClr>
          </a:sp3d>
        </c:spPr>
      </c:pivotFmt>
      <c:pivotFmt>
        <c:idx val="13"/>
        <c:spPr>
          <a:solidFill>
            <a:srgbClr val="92D050"/>
          </a:solidFill>
          <a:ln w="25400">
            <a:solidFill>
              <a:schemeClr val="lt1"/>
            </a:solidFill>
          </a:ln>
          <a:effectLst/>
          <a:sp3d contourW="25400">
            <a:contourClr>
              <a:schemeClr val="lt1"/>
            </a:contourClr>
          </a:sp3d>
        </c:spPr>
      </c:pivotFmt>
      <c:pivotFmt>
        <c:idx val="14"/>
        <c:spPr>
          <a:solidFill>
            <a:schemeClr val="accent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3'!$B$3</c:f>
              <c:strCache>
                <c:ptCount val="1"/>
                <c:pt idx="0">
                  <c:v>Total</c:v>
                </c:pt>
              </c:strCache>
            </c:strRef>
          </c:tx>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39A-4B41-85CC-F2A213783E2F}"/>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739A-4B41-85CC-F2A213783E2F}"/>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9A-4B41-85CC-F2A213783E2F}"/>
              </c:ext>
            </c:extLst>
          </c:dPt>
          <c:dPt>
            <c:idx val="3"/>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39A-4B41-85CC-F2A213783E2F}"/>
              </c:ext>
            </c:extLst>
          </c:dPt>
          <c:dLbls>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3'!$A$4:$A$8</c:f>
              <c:strCache>
                <c:ptCount val="4"/>
                <c:pt idx="0">
                  <c:v>Automobiles</c:v>
                </c:pt>
                <c:pt idx="1">
                  <c:v>Electronics</c:v>
                </c:pt>
                <c:pt idx="2">
                  <c:v>Furniture</c:v>
                </c:pt>
                <c:pt idx="3">
                  <c:v>Machinery</c:v>
                </c:pt>
              </c:strCache>
            </c:strRef>
          </c:cat>
          <c:val>
            <c:numRef>
              <c:f>'Pivot 3'!$B$4:$B$8</c:f>
              <c:numCache>
                <c:formatCode>0</c:formatCode>
                <c:ptCount val="4"/>
                <c:pt idx="0">
                  <c:v>140.87387695413258</c:v>
                </c:pt>
                <c:pt idx="1">
                  <c:v>108.36824651666703</c:v>
                </c:pt>
                <c:pt idx="2">
                  <c:v>180.44103348778611</c:v>
                </c:pt>
                <c:pt idx="3">
                  <c:v>108.97659894637714</c:v>
                </c:pt>
              </c:numCache>
            </c:numRef>
          </c:val>
          <c:extLst>
            <c:ext xmlns:c16="http://schemas.microsoft.com/office/drawing/2014/chart" uri="{C3380CC4-5D6E-409C-BE32-E72D297353CC}">
              <c16:uniqueId val="{00000008-739A-4B41-85CC-F2A213783E2F}"/>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5!PivotTable7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rPr>
              <a:t>Age Distribution by Units Produced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27653418608192E-2"/>
          <c:y val="0.16794448979726398"/>
          <c:w val="0.93299832495812396"/>
          <c:h val="0.68447858016782792"/>
        </c:manualLayout>
      </c:layout>
      <c:lineChart>
        <c:grouping val="standard"/>
        <c:varyColors val="0"/>
        <c:ser>
          <c:idx val="0"/>
          <c:order val="0"/>
          <c:tx>
            <c:strRef>
              <c:f>'Pivot 5'!$B$3</c:f>
              <c:strCache>
                <c:ptCount val="1"/>
                <c:pt idx="0">
                  <c:v>Total</c:v>
                </c:pt>
              </c:strCache>
            </c:strRef>
          </c:tx>
          <c:spPr>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5'!$A$4:$A$12</c:f>
              <c:strCache>
                <c:ptCount val="8"/>
                <c:pt idx="0">
                  <c:v>25</c:v>
                </c:pt>
                <c:pt idx="1">
                  <c:v>26</c:v>
                </c:pt>
                <c:pt idx="2">
                  <c:v>28</c:v>
                </c:pt>
                <c:pt idx="3">
                  <c:v>36</c:v>
                </c:pt>
                <c:pt idx="4">
                  <c:v>42</c:v>
                </c:pt>
                <c:pt idx="5">
                  <c:v>49</c:v>
                </c:pt>
                <c:pt idx="6">
                  <c:v>52</c:v>
                </c:pt>
                <c:pt idx="7">
                  <c:v>57</c:v>
                </c:pt>
              </c:strCache>
            </c:strRef>
          </c:cat>
          <c:val>
            <c:numRef>
              <c:f>'Pivot 5'!$B$4:$B$12</c:f>
              <c:numCache>
                <c:formatCode>_ * #,##0_ ;_ * \-#,##0_ ;_ * "-"??_ ;_ @_ </c:formatCode>
                <c:ptCount val="8"/>
                <c:pt idx="0">
                  <c:v>5568</c:v>
                </c:pt>
                <c:pt idx="1">
                  <c:v>6157</c:v>
                </c:pt>
                <c:pt idx="2">
                  <c:v>3806</c:v>
                </c:pt>
                <c:pt idx="3">
                  <c:v>1485</c:v>
                </c:pt>
                <c:pt idx="4">
                  <c:v>10562</c:v>
                </c:pt>
                <c:pt idx="5">
                  <c:v>1534</c:v>
                </c:pt>
                <c:pt idx="6">
                  <c:v>2049</c:v>
                </c:pt>
                <c:pt idx="7">
                  <c:v>3566</c:v>
                </c:pt>
              </c:numCache>
            </c:numRef>
          </c:val>
          <c:smooth val="0"/>
          <c:extLst>
            <c:ext xmlns:c16="http://schemas.microsoft.com/office/drawing/2014/chart" uri="{C3380CC4-5D6E-409C-BE32-E72D297353CC}">
              <c16:uniqueId val="{00000000-B840-4DD5-A090-B0FD9CEE3B73}"/>
            </c:ext>
          </c:extLst>
        </c:ser>
        <c:dLbls>
          <c:dLblPos val="t"/>
          <c:showLegendKey val="0"/>
          <c:showVal val="1"/>
          <c:showCatName val="0"/>
          <c:showSerName val="0"/>
          <c:showPercent val="0"/>
          <c:showBubbleSize val="0"/>
        </c:dLbls>
        <c:marker val="1"/>
        <c:smooth val="0"/>
        <c:axId val="1751528000"/>
        <c:axId val="1746370752"/>
      </c:lineChart>
      <c:catAx>
        <c:axId val="1751528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46370752"/>
        <c:crosses val="autoZero"/>
        <c:auto val="1"/>
        <c:lblAlgn val="ctr"/>
        <c:lblOffset val="100"/>
        <c:noMultiLvlLbl val="0"/>
      </c:catAx>
      <c:valAx>
        <c:axId val="1746370752"/>
        <c:scaling>
          <c:orientation val="minMax"/>
        </c:scaling>
        <c:delete val="1"/>
        <c:axPos val="l"/>
        <c:numFmt formatCode="_ * #,##0_ ;_ * \-#,##0_ ;_ * &quot;-&quot;??_ ;_ @_ " sourceLinked="1"/>
        <c:majorTickMark val="none"/>
        <c:minorTickMark val="none"/>
        <c:tickLblPos val="nextTo"/>
        <c:crossAx val="175152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2!PivotTable3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Count</a:t>
            </a:r>
            <a:r>
              <a:rPr lang="en-US" b="1" u="sng" baseline="0">
                <a:solidFill>
                  <a:sysClr val="windowText" lastClr="000000"/>
                </a:solidFill>
              </a:rPr>
              <a:t> Of Units For Each Manager</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75000"/>
            </a:schemeClr>
          </a:solidFill>
          <a:ln>
            <a:noFill/>
          </a:ln>
          <a:effectLst/>
          <a:sp3d/>
        </c:spPr>
      </c:pivotFmt>
      <c:pivotFmt>
        <c:idx val="2"/>
        <c:spPr>
          <a:solidFill>
            <a:schemeClr val="accent2">
              <a:lumMod val="75000"/>
            </a:schemeClr>
          </a:solidFill>
          <a:ln>
            <a:noFill/>
          </a:ln>
          <a:effectLst/>
          <a:sp3d/>
        </c:spPr>
        <c:dLbl>
          <c:idx val="0"/>
          <c:layout>
            <c:manualLayout>
              <c:x val="-2.7777777777777779E-3"/>
              <c:y val="-1.8518518518518517E-2"/>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75000"/>
            </a:schemeClr>
          </a:solidFill>
          <a:ln>
            <a:noFill/>
          </a:ln>
          <a:effectLst/>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75000"/>
            </a:schemeClr>
          </a:solidFill>
          <a:ln>
            <a:noFill/>
          </a:ln>
          <a:effectLst/>
          <a:sp3d/>
        </c:spPr>
        <c:dLbl>
          <c:idx val="0"/>
          <c:layout>
            <c:manualLayout>
              <c:x val="-2.7777777777777779E-3"/>
              <c:y val="-1.8518518518518517E-2"/>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a:noFill/>
          </a:ln>
          <a:effectLst/>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75000"/>
            </a:schemeClr>
          </a:solidFill>
          <a:ln>
            <a:noFill/>
          </a:ln>
          <a:effectLst/>
          <a:sp3d/>
        </c:spPr>
        <c:dLbl>
          <c:idx val="0"/>
          <c:layout>
            <c:manualLayout>
              <c:x val="-2.7777777777777779E-3"/>
              <c:y val="-1.8518518518518517E-2"/>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75000"/>
            </a:schemeClr>
          </a:solidFill>
          <a:ln>
            <a:noFill/>
          </a:ln>
          <a:effectLst/>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75000"/>
            </a:schemeClr>
          </a:solidFill>
          <a:ln>
            <a:noFill/>
          </a:ln>
          <a:effectLst/>
          <a:sp3d/>
        </c:spPr>
        <c:dLbl>
          <c:idx val="0"/>
          <c:layout>
            <c:manualLayout>
              <c:x val="-2.7777777777777779E-3"/>
              <c:y val="-1.8518518518518517E-2"/>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lumMod val="75000"/>
            </a:schemeClr>
          </a:solidFill>
          <a:ln>
            <a:noFill/>
          </a:ln>
          <a:effectLst/>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lumMod val="75000"/>
            </a:schemeClr>
          </a:solidFill>
          <a:ln>
            <a:noFill/>
          </a:ln>
          <a:effectLst/>
          <a:sp3d/>
        </c:spPr>
        <c:dLbl>
          <c:idx val="0"/>
          <c:layout>
            <c:manualLayout>
              <c:x val="-2.7777777777777779E-3"/>
              <c:y val="-1.8518518518518517E-2"/>
            </c:manualLayout>
          </c:layout>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2">
                <a:lumMod val="75000"/>
              </a:schemeClr>
            </a:solidFill>
            <a:ln>
              <a:noFill/>
            </a:ln>
            <a:effectLst/>
            <a:sp3d/>
          </c:spPr>
          <c:invertIfNegative val="0"/>
          <c:dPt>
            <c:idx val="9"/>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0-5894-409E-8FEF-375A51A5C56F}"/>
              </c:ext>
            </c:extLst>
          </c:dPt>
          <c:dLbls>
            <c:dLbl>
              <c:idx val="9"/>
              <c:layout>
                <c:manualLayout>
                  <c:x val="-2.7777777777777779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94-409E-8FEF-375A51A5C56F}"/>
                </c:ext>
              </c:extLst>
            </c:dLbl>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1-9AA1-4E05-BE07-4375A0DD88D9}"/>
            </c:ext>
          </c:extLst>
        </c:ser>
        <c:dLbls>
          <c:showLegendKey val="0"/>
          <c:showVal val="0"/>
          <c:showCatName val="0"/>
          <c:showSerName val="0"/>
          <c:showPercent val="0"/>
          <c:showBubbleSize val="0"/>
        </c:dLbls>
        <c:gapWidth val="150"/>
        <c:shape val="box"/>
        <c:axId val="1553691728"/>
        <c:axId val="1553692208"/>
        <c:axId val="0"/>
      </c:bar3DChart>
      <c:catAx>
        <c:axId val="155369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53692208"/>
        <c:crosses val="autoZero"/>
        <c:auto val="1"/>
        <c:lblAlgn val="ctr"/>
        <c:lblOffset val="100"/>
        <c:noMultiLvlLbl val="0"/>
      </c:catAx>
      <c:valAx>
        <c:axId val="1553692208"/>
        <c:scaling>
          <c:orientation val="minMax"/>
        </c:scaling>
        <c:delete val="1"/>
        <c:axPos val="b"/>
        <c:numFmt formatCode="General" sourceLinked="1"/>
        <c:majorTickMark val="none"/>
        <c:minorTickMark val="none"/>
        <c:tickLblPos val="nextTo"/>
        <c:crossAx val="155369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[GaliSateesh ExcelDashboard.xlsx]Pivot 5!PivotTable7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rPr>
              <a:t>Age Distribution by Units Produced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7171296296296298"/>
          <c:w val="0.93888888888888888"/>
          <c:h val="0.72088764946048411"/>
        </c:manualLayout>
      </c:layout>
      <c:lineChart>
        <c:grouping val="standard"/>
        <c:varyColors val="0"/>
        <c:ser>
          <c:idx val="0"/>
          <c:order val="0"/>
          <c:tx>
            <c:strRef>
              <c:f>'Pivot 5'!$B$3</c:f>
              <c:strCache>
                <c:ptCount val="1"/>
                <c:pt idx="0">
                  <c:v>Total</c:v>
                </c:pt>
              </c:strCache>
            </c:strRef>
          </c:tx>
          <c:spPr>
            <a:ln w="28575" cap="rnd">
              <a:solidFill>
                <a:schemeClr val="accent5">
                  <a:lumMod val="50000"/>
                </a:schemeClr>
              </a:solidFill>
              <a:round/>
            </a:ln>
            <a:effectLst/>
          </c:spPr>
          <c:marker>
            <c:symbol val="circle"/>
            <c:size val="5"/>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5'!$A$4:$A$12</c:f>
              <c:strCache>
                <c:ptCount val="8"/>
                <c:pt idx="0">
                  <c:v>25</c:v>
                </c:pt>
                <c:pt idx="1">
                  <c:v>26</c:v>
                </c:pt>
                <c:pt idx="2">
                  <c:v>28</c:v>
                </c:pt>
                <c:pt idx="3">
                  <c:v>36</c:v>
                </c:pt>
                <c:pt idx="4">
                  <c:v>42</c:v>
                </c:pt>
                <c:pt idx="5">
                  <c:v>49</c:v>
                </c:pt>
                <c:pt idx="6">
                  <c:v>52</c:v>
                </c:pt>
                <c:pt idx="7">
                  <c:v>57</c:v>
                </c:pt>
              </c:strCache>
            </c:strRef>
          </c:cat>
          <c:val>
            <c:numRef>
              <c:f>'Pivot 5'!$B$4:$B$12</c:f>
              <c:numCache>
                <c:formatCode>_ * #,##0_ ;_ * \-#,##0_ ;_ * "-"??_ ;_ @_ </c:formatCode>
                <c:ptCount val="8"/>
                <c:pt idx="0">
                  <c:v>5568</c:v>
                </c:pt>
                <c:pt idx="1">
                  <c:v>6157</c:v>
                </c:pt>
                <c:pt idx="2">
                  <c:v>3806</c:v>
                </c:pt>
                <c:pt idx="3">
                  <c:v>1485</c:v>
                </c:pt>
                <c:pt idx="4">
                  <c:v>10562</c:v>
                </c:pt>
                <c:pt idx="5">
                  <c:v>1534</c:v>
                </c:pt>
                <c:pt idx="6">
                  <c:v>2049</c:v>
                </c:pt>
                <c:pt idx="7">
                  <c:v>3566</c:v>
                </c:pt>
              </c:numCache>
            </c:numRef>
          </c:val>
          <c:smooth val="0"/>
          <c:extLst>
            <c:ext xmlns:c16="http://schemas.microsoft.com/office/drawing/2014/chart" uri="{C3380CC4-5D6E-409C-BE32-E72D297353CC}">
              <c16:uniqueId val="{00000000-31F6-48F4-BB7A-2A5C3BF132AC}"/>
            </c:ext>
          </c:extLst>
        </c:ser>
        <c:dLbls>
          <c:dLblPos val="t"/>
          <c:showLegendKey val="0"/>
          <c:showVal val="1"/>
          <c:showCatName val="0"/>
          <c:showSerName val="0"/>
          <c:showPercent val="0"/>
          <c:showBubbleSize val="0"/>
        </c:dLbls>
        <c:marker val="1"/>
        <c:smooth val="0"/>
        <c:axId val="1751528000"/>
        <c:axId val="1746370752"/>
      </c:lineChart>
      <c:catAx>
        <c:axId val="1751528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46370752"/>
        <c:crosses val="autoZero"/>
        <c:auto val="1"/>
        <c:lblAlgn val="ctr"/>
        <c:lblOffset val="100"/>
        <c:noMultiLvlLbl val="0"/>
      </c:catAx>
      <c:valAx>
        <c:axId val="1746370752"/>
        <c:scaling>
          <c:orientation val="minMax"/>
        </c:scaling>
        <c:delete val="1"/>
        <c:axPos val="l"/>
        <c:numFmt formatCode="_ * #,##0_ ;_ * \-#,##0_ ;_ * &quot;-&quot;??_ ;_ @_ " sourceLinked="1"/>
        <c:majorTickMark val="none"/>
        <c:minorTickMark val="none"/>
        <c:tickLblPos val="nextTo"/>
        <c:crossAx val="175152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11</xdr:col>
      <xdr:colOff>289560</xdr:colOff>
      <xdr:row>21</xdr:row>
      <xdr:rowOff>41910</xdr:rowOff>
    </xdr:to>
    <xdr:graphicFrame macro="">
      <xdr:nvGraphicFramePr>
        <xdr:cNvPr id="3" name="Chart 2">
          <a:extLst>
            <a:ext uri="{FF2B5EF4-FFF2-40B4-BE49-F238E27FC236}">
              <a16:creationId xmlns:a16="http://schemas.microsoft.com/office/drawing/2014/main" id="{23A10842-993E-5B6B-5CF5-EC3C228A0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F89259BC-EEB7-D16C-498F-4549E5E6F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91440</xdr:colOff>
      <xdr:row>6</xdr:row>
      <xdr:rowOff>41910</xdr:rowOff>
    </xdr:from>
    <xdr:to>
      <xdr:col>9</xdr:col>
      <xdr:colOff>396240</xdr:colOff>
      <xdr:row>21</xdr:row>
      <xdr:rowOff>41910</xdr:rowOff>
    </xdr:to>
    <xdr:graphicFrame macro="">
      <xdr:nvGraphicFramePr>
        <xdr:cNvPr id="2" name="Chart 1">
          <a:extLst>
            <a:ext uri="{FF2B5EF4-FFF2-40B4-BE49-F238E27FC236}">
              <a16:creationId xmlns:a16="http://schemas.microsoft.com/office/drawing/2014/main" id="{644F58E9-BDE5-8BE7-7B78-FD904FA93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4</xdr:row>
      <xdr:rowOff>53340</xdr:rowOff>
    </xdr:from>
    <xdr:to>
      <xdr:col>11</xdr:col>
      <xdr:colOff>457200</xdr:colOff>
      <xdr:row>21</xdr:row>
      <xdr:rowOff>41910</xdr:rowOff>
    </xdr:to>
    <xdr:graphicFrame macro="">
      <xdr:nvGraphicFramePr>
        <xdr:cNvPr id="2" name="Chart 1">
          <a:extLst>
            <a:ext uri="{FF2B5EF4-FFF2-40B4-BE49-F238E27FC236}">
              <a16:creationId xmlns:a16="http://schemas.microsoft.com/office/drawing/2014/main" id="{2E155644-22D8-8BC0-8FF6-8010985E0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E766674F-F767-CFB2-0215-6A0EE92AC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xdr:colOff>
      <xdr:row>13</xdr:row>
      <xdr:rowOff>0</xdr:rowOff>
    </xdr:from>
    <xdr:to>
      <xdr:col>8</xdr:col>
      <xdr:colOff>396874</xdr:colOff>
      <xdr:row>28</xdr:row>
      <xdr:rowOff>7937</xdr:rowOff>
    </xdr:to>
    <xdr:graphicFrame macro="">
      <xdr:nvGraphicFramePr>
        <xdr:cNvPr id="2" name="Chart 1">
          <a:extLst>
            <a:ext uri="{FF2B5EF4-FFF2-40B4-BE49-F238E27FC236}">
              <a16:creationId xmlns:a16="http://schemas.microsoft.com/office/drawing/2014/main" id="{E92390A9-71E0-40D5-BE3E-021854232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441960</xdr:colOff>
      <xdr:row>13</xdr:row>
      <xdr:rowOff>7619</xdr:rowOff>
    </xdr:from>
    <xdr:to>
      <xdr:col>15</xdr:col>
      <xdr:colOff>47625</xdr:colOff>
      <xdr:row>28</xdr:row>
      <xdr:rowOff>15874</xdr:rowOff>
    </xdr:to>
    <xdr:graphicFrame macro="">
      <xdr:nvGraphicFramePr>
        <xdr:cNvPr id="4" name="Chart 3">
          <a:extLst>
            <a:ext uri="{FF2B5EF4-FFF2-40B4-BE49-F238E27FC236}">
              <a16:creationId xmlns:a16="http://schemas.microsoft.com/office/drawing/2014/main" id="{CA2C3240-8422-41B1-AD79-5AA2392BD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93345</xdr:colOff>
      <xdr:row>13</xdr:row>
      <xdr:rowOff>23813</xdr:rowOff>
    </xdr:from>
    <xdr:to>
      <xdr:col>21</xdr:col>
      <xdr:colOff>596265</xdr:colOff>
      <xdr:row>28</xdr:row>
      <xdr:rowOff>23812</xdr:rowOff>
    </xdr:to>
    <xdr:graphicFrame macro="">
      <xdr:nvGraphicFramePr>
        <xdr:cNvPr id="5" name="Chart 4">
          <a:extLst>
            <a:ext uri="{FF2B5EF4-FFF2-40B4-BE49-F238E27FC236}">
              <a16:creationId xmlns:a16="http://schemas.microsoft.com/office/drawing/2014/main" id="{99B096FC-4F15-48F4-BE11-19BFFF425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373062</xdr:colOff>
      <xdr:row>29</xdr:row>
      <xdr:rowOff>47625</xdr:rowOff>
    </xdr:from>
    <xdr:to>
      <xdr:col>22</xdr:col>
      <xdr:colOff>0</xdr:colOff>
      <xdr:row>44</xdr:row>
      <xdr:rowOff>174625</xdr:rowOff>
    </xdr:to>
    <xdr:graphicFrame macro="">
      <xdr:nvGraphicFramePr>
        <xdr:cNvPr id="6" name="Chart 5">
          <a:extLst>
            <a:ext uri="{FF2B5EF4-FFF2-40B4-BE49-F238E27FC236}">
              <a16:creationId xmlns:a16="http://schemas.microsoft.com/office/drawing/2014/main" id="{6F8356A9-94C8-4D67-850F-82997A981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15874</xdr:colOff>
      <xdr:row>29</xdr:row>
      <xdr:rowOff>23813</xdr:rowOff>
    </xdr:from>
    <xdr:to>
      <xdr:col>9</xdr:col>
      <xdr:colOff>235856</xdr:colOff>
      <xdr:row>44</xdr:row>
      <xdr:rowOff>166687</xdr:rowOff>
    </xdr:to>
    <xdr:graphicFrame macro="">
      <xdr:nvGraphicFramePr>
        <xdr:cNvPr id="8" name="Chart 7">
          <a:extLst>
            <a:ext uri="{FF2B5EF4-FFF2-40B4-BE49-F238E27FC236}">
              <a16:creationId xmlns:a16="http://schemas.microsoft.com/office/drawing/2014/main" id="{8A61EEE8-3F9A-4C8E-91EB-638E8558A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256296</xdr:colOff>
      <xdr:row>4</xdr:row>
      <xdr:rowOff>118502</xdr:rowOff>
    </xdr:from>
    <xdr:to>
      <xdr:col>11</xdr:col>
      <xdr:colOff>93010</xdr:colOff>
      <xdr:row>12</xdr:row>
      <xdr:rowOff>115747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B9A66EF-82E7-F4FD-32DF-0CABCF8590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02321" y="851565"/>
              <a:ext cx="2875069" cy="1463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488261</xdr:colOff>
      <xdr:row>4</xdr:row>
      <xdr:rowOff>117957</xdr:rowOff>
    </xdr:from>
    <xdr:to>
      <xdr:col>16</xdr:col>
      <xdr:colOff>511214</xdr:colOff>
      <xdr:row>12</xdr:row>
      <xdr:rowOff>96456</xdr:rowOff>
    </xdr:to>
    <mc:AlternateContent xmlns:mc="http://schemas.openxmlformats.org/markup-compatibility/2006" xmlns:a14="http://schemas.microsoft.com/office/drawing/2010/main">
      <mc:Choice Requires="a14">
        <xdr:graphicFrame macro="">
          <xdr:nvGraphicFramePr>
            <xdr:cNvPr id="10" name="ProductType">
              <a:extLst>
                <a:ext uri="{FF2B5EF4-FFF2-40B4-BE49-F238E27FC236}">
                  <a16:creationId xmlns:a16="http://schemas.microsoft.com/office/drawing/2014/main" id="{08DD05B8-AEF9-353B-E4CE-DC2D95493DEB}"/>
                </a:ext>
              </a:extLst>
            </xdr:cNvPr>
            <xdr:cNvGraphicFramePr/>
          </xdr:nvGraphicFramePr>
          <xdr:xfrm>
            <a:off x="0" y="0"/>
            <a:ext cx="0" cy="0"/>
          </xdr:xfrm>
          <a:graphic>
            <a:graphicData uri="http://schemas.microsoft.com/office/drawing/2010/slicer">
              <sle:slicer xmlns:sle="http://schemas.microsoft.com/office/drawing/2010/slicer" name="ProductType"/>
            </a:graphicData>
          </a:graphic>
        </xdr:graphicFrame>
      </mc:Choice>
      <mc:Fallback xmlns="">
        <xdr:sp macro="" textlink="">
          <xdr:nvSpPr>
            <xdr:cNvPr id="0" name=""/>
            <xdr:cNvSpPr>
              <a:spLocks noTextEdit="1"/>
            </xdr:cNvSpPr>
          </xdr:nvSpPr>
          <xdr:spPr>
            <a:xfrm>
              <a:off x="7172641" y="851020"/>
              <a:ext cx="3061307" cy="1444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227522</xdr:colOff>
      <xdr:row>4</xdr:row>
      <xdr:rowOff>133122</xdr:rowOff>
    </xdr:from>
    <xdr:to>
      <xdr:col>22</xdr:col>
      <xdr:colOff>0</xdr:colOff>
      <xdr:row>12</xdr:row>
      <xdr:rowOff>96456</xdr:rowOff>
    </xdr:to>
    <mc:AlternateContent xmlns:mc="http://schemas.openxmlformats.org/markup-compatibility/2006" xmlns:a14="http://schemas.microsoft.com/office/drawing/2010/main">
      <mc:Choice Requires="a14">
        <xdr:graphicFrame macro="">
          <xdr:nvGraphicFramePr>
            <xdr:cNvPr id="11" name="True Age">
              <a:extLst>
                <a:ext uri="{FF2B5EF4-FFF2-40B4-BE49-F238E27FC236}">
                  <a16:creationId xmlns:a16="http://schemas.microsoft.com/office/drawing/2014/main" id="{AAA38832-A2D8-BAB9-F8A2-0D749531BCB3}"/>
                </a:ext>
              </a:extLst>
            </xdr:cNvPr>
            <xdr:cNvGraphicFramePr/>
          </xdr:nvGraphicFramePr>
          <xdr:xfrm>
            <a:off x="0" y="0"/>
            <a:ext cx="0" cy="0"/>
          </xdr:xfrm>
          <a:graphic>
            <a:graphicData uri="http://schemas.microsoft.com/office/drawing/2010/slicer">
              <sle:slicer xmlns:sle="http://schemas.microsoft.com/office/drawing/2010/slicer" name="True Age"/>
            </a:graphicData>
          </a:graphic>
        </xdr:graphicFrame>
      </mc:Choice>
      <mc:Fallback xmlns="">
        <xdr:sp macro="" textlink="">
          <xdr:nvSpPr>
            <xdr:cNvPr id="0" name=""/>
            <xdr:cNvSpPr>
              <a:spLocks noTextEdit="1"/>
            </xdr:cNvSpPr>
          </xdr:nvSpPr>
          <xdr:spPr>
            <a:xfrm>
              <a:off x="10557927" y="866185"/>
              <a:ext cx="2810832" cy="1429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76198</xdr:colOff>
      <xdr:row>4</xdr:row>
      <xdr:rowOff>110807</xdr:rowOff>
    </xdr:from>
    <xdr:to>
      <xdr:col>5</xdr:col>
      <xdr:colOff>526142</xdr:colOff>
      <xdr:row>12</xdr:row>
      <xdr:rowOff>119062</xdr:rowOff>
    </xdr:to>
    <mc:AlternateContent xmlns:mc="http://schemas.openxmlformats.org/markup-compatibility/2006" xmlns:a14="http://schemas.microsoft.com/office/drawing/2010/main">
      <mc:Choice Requires="a14">
        <xdr:graphicFrame macro="">
          <xdr:nvGraphicFramePr>
            <xdr:cNvPr id="12" name="New Gender">
              <a:extLst>
                <a:ext uri="{FF2B5EF4-FFF2-40B4-BE49-F238E27FC236}">
                  <a16:creationId xmlns:a16="http://schemas.microsoft.com/office/drawing/2014/main" id="{FF154393-88F9-8D5C-FCCF-C211C464AC04}"/>
                </a:ext>
              </a:extLst>
            </xdr:cNvPr>
            <xdr:cNvGraphicFramePr/>
          </xdr:nvGraphicFramePr>
          <xdr:xfrm>
            <a:off x="0" y="0"/>
            <a:ext cx="0" cy="0"/>
          </xdr:xfrm>
          <a:graphic>
            <a:graphicData uri="http://schemas.microsoft.com/office/drawing/2010/slicer">
              <sle:slicer xmlns:sle="http://schemas.microsoft.com/office/drawing/2010/slicer" name="New Gender"/>
            </a:graphicData>
          </a:graphic>
        </xdr:graphicFrame>
      </mc:Choice>
      <mc:Fallback xmlns="">
        <xdr:sp macro="" textlink="">
          <xdr:nvSpPr>
            <xdr:cNvPr id="0" name=""/>
            <xdr:cNvSpPr>
              <a:spLocks noTextEdit="1"/>
            </xdr:cNvSpPr>
          </xdr:nvSpPr>
          <xdr:spPr>
            <a:xfrm>
              <a:off x="687387" y="658495"/>
              <a:ext cx="1828800" cy="1468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lli.sai kalyan" refreshedDate="46064.630685763892" createdVersion="8" refreshedVersion="8" minRefreshableVersion="3" recordCount="120" xr:uid="{E8944741-BD4C-4940-B02A-534F6BB8B021}">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6-29T00:00:00"/>
        <d v="2024-08-16T00:00:00"/>
        <d v="2023-10-08T00:00:00"/>
        <d v="2024-04-08T00:00:00"/>
        <d v="2024-03-18T00:00:00"/>
        <d v="2024-01-16T00:00:00"/>
        <d v="2024-01-14T00:00:00"/>
        <d v="2024-02-25T00:00:00"/>
        <d v="2024-04-30T00:00:00"/>
        <d v="2023-11-10T00:00:00"/>
        <d v="2024-03-30T00:00:00"/>
        <d v="2024-06-26T00:00:00"/>
        <d v="2024-01-03T00:00:00"/>
        <d v="2024-03-26T00:00:00"/>
        <d v="2024-02-28T00:00:00"/>
        <d v="2024-01-08T00:00:00"/>
        <d v="2023-11-21T00:00:00"/>
        <d v="2024-08-06T00:00:00"/>
        <d v="2024-03-06T00:00:00"/>
        <d v="2023-12-17T00:00:00"/>
        <d v="2023-11-26T00:00:00"/>
        <d v="2024-02-13T00:00:00"/>
        <d v="2024-04-28T00:00:00"/>
        <d v="2023-10-01T00:00:00"/>
        <d v="2024-05-10T00:00:00"/>
        <d v="2024-05-15T00:00:00"/>
        <d v="2024-08-23T00:00:00"/>
        <d v="2024-06-06T00:00:00"/>
        <d v="2024-06-22T00:00:00"/>
        <d v="2024-01-27T00:00:00"/>
        <d v="2023-11-05T00:00:00"/>
        <d v="2023-10-31T00:00:00"/>
        <d v="2023-09-22T00:00:00"/>
        <d v="2023-11-19T00:00:00"/>
        <d v="2023-11-24T00:00:00"/>
        <d v="2024-02-26T00:00:00"/>
        <d v="2023-12-29T00:00:00"/>
        <d v="2024-07-24T00:00:00"/>
        <d v="2024-03-19T00:00:00"/>
        <d v="2023-11-02T00:00:00"/>
        <d v="2024-03-23T00:00:00"/>
        <d v="2024-03-29T00:00:00"/>
        <d v="2023-11-04T00:00:00"/>
        <d v="2024-01-05T00:00:00"/>
        <d v="2024-06-10T00:00:00"/>
        <d v="2024-03-21T00:00:00"/>
        <d v="2024-05-20T00:00:00"/>
        <d v="2023-10-18T00:00:00"/>
        <d v="2024-06-14T00:00:00"/>
        <d v="2024-02-07T00:00:00"/>
        <d v="2024-01-02T00:00:00"/>
        <d v="2023-10-16T00:00:00"/>
        <d v="2024-05-08T00:00:00"/>
        <d v="2023-10-15T00:00:00"/>
        <d v="2023-10-22T00:00:00"/>
        <d v="2024-06-08T00:00:00"/>
        <d v="2023-12-26T00:00:00"/>
        <d v="2023-09-28T00:00:00"/>
        <d v="2024-04-01T00:00:00"/>
        <d v="2023-10-29T00:00:00"/>
        <d v="2024-03-13T00:00:00"/>
        <d v="2023-12-22T00:00:00"/>
        <d v="2023-12-14T00:00:00"/>
        <d v="2023-11-03T00:00:00"/>
        <d v="2024-08-04T00:00:00"/>
        <d v="2024-04-16T00:00:00"/>
        <d v="2024-01-13T00:00:00"/>
        <d v="2024-08-26T00:00:00"/>
        <d v="2024-08-07T00:00:00"/>
        <d v="2024-02-17T00:00:00"/>
        <d v="2024-09-08T00:00:00"/>
        <d v="2024-03-20T00:00:00"/>
        <d v="2024-06-24T00:00:00"/>
        <d v="2024-04-25T00:00:00"/>
        <d v="2024-05-12T00:00:00"/>
        <d v="2023-11-22T00:00:00"/>
        <d v="2023-10-17T00:00:00"/>
        <d v="2024-09-14T00:00:00"/>
        <d v="2023-09-24T00:00:00"/>
        <d v="2024-01-01T00:00:00"/>
        <d v="2024-03-27T00:00:00"/>
        <d v="2024-03-05T00:00:00"/>
        <d v="2024-08-02T00:00:00"/>
        <d v="2024-07-05T00:00:00"/>
        <d v="2024-09-09T00:00:00"/>
        <d v="2024-01-18T00:00:00"/>
        <d v="2024-02-08T00:00:00"/>
        <d v="2024-06-01T00:00:00"/>
        <d v="2024-08-17T00:00:00"/>
        <d v="2024-06-21T00:00:00"/>
        <d v="2023-11-13T00:00:00"/>
        <d v="2024-04-10T00:00:00"/>
        <d v="2023-12-04T00:00:00"/>
        <d v="2023-12-13T00:00:00"/>
        <d v="2024-07-31T00:00:00"/>
        <d v="2024-07-16T00:00:00"/>
        <d v="2024-06-15T00:00:00"/>
        <d v="2024-08-28T00:00:00"/>
        <d v="2024-03-10T00:00:00"/>
      </sharedItems>
      <fieldGroup par="13"/>
    </cacheField>
    <cacheField name="Region" numFmtId="0">
      <sharedItems count="4">
        <s v="West"/>
        <s v="North"/>
        <s v="South"/>
        <s v="East"/>
      </sharedItems>
    </cacheField>
    <cacheField name="Manager" numFmtId="0">
      <sharedItems count="10">
        <s v="Andrew Blue"/>
        <s v="Chris Green"/>
        <s v="David White"/>
        <s v="Emily Davis"/>
        <s v="Jane Smith"/>
        <s v="John Doe"/>
        <s v="Laura Black"/>
        <s v="Mike Brown"/>
        <s v="Nancy Grey"/>
        <s v="Sarah Lee"/>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ount="111">
        <n v="68"/>
        <n v="90"/>
        <n v="231"/>
        <n v="190"/>
        <n v="84"/>
        <n v="60"/>
        <n v="264"/>
        <n v="128"/>
        <n v="236"/>
        <n v="666"/>
        <n v="363"/>
        <n v="443"/>
        <n v="180"/>
        <n v="145"/>
        <n v="308"/>
        <n v="95"/>
        <n v="447"/>
        <n v="333"/>
        <n v="429"/>
        <n v="366"/>
        <n v="86"/>
        <n v="494"/>
        <n v="462"/>
        <n v="290"/>
        <n v="511"/>
        <n v="173"/>
        <n v="62"/>
        <n v="178"/>
        <n v="401"/>
        <n v="332"/>
        <n v="193"/>
        <n v="439"/>
        <n v="460"/>
        <n v="214"/>
        <n v="74"/>
        <n v="465"/>
        <n v="545"/>
        <n v="97"/>
        <n v="404"/>
        <n v="376"/>
        <n v="319"/>
        <n v="81"/>
        <n v="541"/>
        <n v="527"/>
        <n v="412"/>
        <n v="435"/>
        <n v="177"/>
        <n v="255"/>
        <n v="322"/>
        <n v="305"/>
        <n v="188"/>
        <n v="208"/>
        <n v="130"/>
        <n v="368"/>
        <n v="384"/>
        <n v="430"/>
        <n v="260"/>
        <n v="165"/>
        <n v="151"/>
        <n v="213"/>
        <n v="307"/>
        <n v="155"/>
        <n v="459"/>
        <n v="458"/>
        <n v="444"/>
        <n v="288"/>
        <n v="358"/>
        <n v="535"/>
        <n v="380"/>
        <n v="222"/>
        <n v="126"/>
        <n v="199"/>
        <n v="55"/>
        <n v="396"/>
        <n v="383"/>
        <n v="240"/>
        <n v="331"/>
        <n v="250"/>
        <n v="406"/>
        <n v="422"/>
        <n v="499"/>
        <n v="369"/>
        <n v="389"/>
        <n v="115"/>
        <n v="51"/>
        <n v="382"/>
        <n v="354"/>
        <n v="343"/>
        <n v="63"/>
        <n v="491"/>
        <n v="344"/>
        <n v="160"/>
        <n v="495"/>
        <n v="335"/>
        <n v="218"/>
        <n v="265"/>
        <n v="519"/>
        <n v="32"/>
        <n v="192"/>
        <n v="209"/>
        <n v="386"/>
        <n v="306"/>
        <n v="216"/>
        <n v="359"/>
        <n v="318"/>
        <n v="289"/>
        <n v="478"/>
        <n v="248"/>
        <n v="79"/>
        <n v="183"/>
        <n v="497"/>
      </sharedItems>
    </cacheField>
    <cacheField name="TotalCost" numFmtId="0">
      <sharedItems containsSemiMixedTypes="0" containsString="0" containsNumber="1" containsInteger="1" minValue="679" maxValue="76076"/>
    </cacheField>
    <cacheField name="True Age" numFmtId="0">
      <sharedItems containsSemiMixedTypes="0" containsString="0" containsNumber="1" containsInteger="1" minValue="25" maxValue="57" count="8">
        <n v="28"/>
        <n v="49"/>
        <n v="25"/>
        <n v="26"/>
        <n v="52"/>
        <n v="57"/>
        <n v="42"/>
        <n v="36"/>
      </sharedItems>
    </cacheField>
    <cacheField name="New Gender" numFmtId="0">
      <sharedItems count="3">
        <s v="Male"/>
        <s v="Female"/>
        <s v="Unknown"/>
      </sharedItems>
    </cacheField>
    <cacheField name="True Age2" numFmtId="0">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889798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7"/>
    <x v="0"/>
    <x v="0"/>
    <x v="0"/>
    <x v="0"/>
    <x v="0"/>
    <n v="11696"/>
    <x v="0"/>
    <x v="0"/>
    <s v="A2"/>
    <n v="172"/>
  </r>
  <r>
    <n v="23"/>
    <x v="1"/>
    <x v="1"/>
    <x v="0"/>
    <x v="1"/>
    <x v="1"/>
    <n v="42328"/>
    <x v="0"/>
    <x v="0"/>
    <s v="A2"/>
    <n v="470.31111111111113"/>
  </r>
  <r>
    <n v="46"/>
    <x v="2"/>
    <x v="0"/>
    <x v="0"/>
    <x v="1"/>
    <x v="2"/>
    <n v="32045"/>
    <x v="0"/>
    <x v="0"/>
    <s v="A2"/>
    <n v="138.72294372294371"/>
  </r>
  <r>
    <n v="66"/>
    <x v="3"/>
    <x v="0"/>
    <x v="0"/>
    <x v="2"/>
    <x v="3"/>
    <n v="28050"/>
    <x v="0"/>
    <x v="0"/>
    <s v="A2"/>
    <n v="147.63157894736841"/>
  </r>
  <r>
    <n v="84"/>
    <x v="4"/>
    <x v="0"/>
    <x v="0"/>
    <x v="2"/>
    <x v="4"/>
    <n v="10688"/>
    <x v="0"/>
    <x v="0"/>
    <s v="A2"/>
    <n v="127.23809523809524"/>
  </r>
  <r>
    <n v="86"/>
    <x v="5"/>
    <x v="2"/>
    <x v="0"/>
    <x v="1"/>
    <x v="5"/>
    <n v="5822"/>
    <x v="0"/>
    <x v="0"/>
    <s v="A2"/>
    <n v="97.033333333333331"/>
  </r>
  <r>
    <n v="88"/>
    <x v="6"/>
    <x v="1"/>
    <x v="0"/>
    <x v="3"/>
    <x v="6"/>
    <n v="75332"/>
    <x v="0"/>
    <x v="0"/>
    <s v="A2"/>
    <n v="285.34848484848487"/>
  </r>
  <r>
    <n v="96"/>
    <x v="7"/>
    <x v="1"/>
    <x v="0"/>
    <x v="1"/>
    <x v="7"/>
    <n v="35088"/>
    <x v="0"/>
    <x v="0"/>
    <s v="A2"/>
    <n v="274.125"/>
  </r>
  <r>
    <n v="107"/>
    <x v="8"/>
    <x v="3"/>
    <x v="0"/>
    <x v="0"/>
    <x v="8"/>
    <n v="679"/>
    <x v="0"/>
    <x v="0"/>
    <s v="A2"/>
    <n v="2.8771186440677967"/>
  </r>
  <r>
    <n v="116"/>
    <x v="9"/>
    <x v="1"/>
    <x v="0"/>
    <x v="3"/>
    <x v="9"/>
    <n v="64635"/>
    <x v="0"/>
    <x v="0"/>
    <s v="A2"/>
    <n v="97.049549549549553"/>
  </r>
  <r>
    <n v="18"/>
    <x v="10"/>
    <x v="0"/>
    <x v="1"/>
    <x v="1"/>
    <x v="10"/>
    <n v="38232"/>
    <x v="1"/>
    <x v="1"/>
    <s v="A1"/>
    <n v="105.32231404958678"/>
  </r>
  <r>
    <n v="19"/>
    <x v="11"/>
    <x v="0"/>
    <x v="1"/>
    <x v="1"/>
    <x v="11"/>
    <n v="50652"/>
    <x v="1"/>
    <x v="1"/>
    <s v="A1"/>
    <n v="114.33860045146727"/>
  </r>
  <r>
    <n v="22"/>
    <x v="12"/>
    <x v="0"/>
    <x v="1"/>
    <x v="0"/>
    <x v="12"/>
    <n v="33684"/>
    <x v="1"/>
    <x v="1"/>
    <s v="A1"/>
    <n v="187.13333333333333"/>
  </r>
  <r>
    <n v="37"/>
    <x v="13"/>
    <x v="1"/>
    <x v="1"/>
    <x v="1"/>
    <x v="13"/>
    <n v="43615"/>
    <x v="1"/>
    <x v="1"/>
    <s v="A1"/>
    <n v="300.79310344827587"/>
  </r>
  <r>
    <n v="68"/>
    <x v="14"/>
    <x v="2"/>
    <x v="1"/>
    <x v="1"/>
    <x v="14"/>
    <n v="27956"/>
    <x v="1"/>
    <x v="1"/>
    <s v="A1"/>
    <n v="90.766233766233768"/>
  </r>
  <r>
    <n v="71"/>
    <x v="14"/>
    <x v="1"/>
    <x v="1"/>
    <x v="3"/>
    <x v="15"/>
    <n v="46800"/>
    <x v="1"/>
    <x v="1"/>
    <s v="A1"/>
    <n v="492.63157894736844"/>
  </r>
  <r>
    <n v="8"/>
    <x v="15"/>
    <x v="0"/>
    <x v="2"/>
    <x v="2"/>
    <x v="16"/>
    <n v="52269"/>
    <x v="0"/>
    <x v="0"/>
    <s v="A2"/>
    <n v="116.93288590604027"/>
  </r>
  <r>
    <n v="34"/>
    <x v="16"/>
    <x v="0"/>
    <x v="2"/>
    <x v="0"/>
    <x v="17"/>
    <n v="48000"/>
    <x v="0"/>
    <x v="0"/>
    <s v="A2"/>
    <n v="144.14414414414415"/>
  </r>
  <r>
    <n v="54"/>
    <x v="17"/>
    <x v="0"/>
    <x v="2"/>
    <x v="1"/>
    <x v="18"/>
    <n v="58208"/>
    <x v="0"/>
    <x v="0"/>
    <s v="A2"/>
    <n v="135.68298368298369"/>
  </r>
  <r>
    <n v="75"/>
    <x v="18"/>
    <x v="0"/>
    <x v="2"/>
    <x v="1"/>
    <x v="7"/>
    <n v="679"/>
    <x v="0"/>
    <x v="0"/>
    <s v="A2"/>
    <n v="5.3046875"/>
  </r>
  <r>
    <n v="93"/>
    <x v="19"/>
    <x v="2"/>
    <x v="2"/>
    <x v="1"/>
    <x v="19"/>
    <n v="4131"/>
    <x v="0"/>
    <x v="0"/>
    <s v="A2"/>
    <n v="11.28688524590164"/>
  </r>
  <r>
    <n v="109"/>
    <x v="20"/>
    <x v="3"/>
    <x v="2"/>
    <x v="1"/>
    <x v="20"/>
    <n v="25853"/>
    <x v="0"/>
    <x v="0"/>
    <s v="A2"/>
    <n v="300.61627906976742"/>
  </r>
  <r>
    <n v="11"/>
    <x v="21"/>
    <x v="0"/>
    <x v="3"/>
    <x v="0"/>
    <x v="21"/>
    <n v="46767"/>
    <x v="2"/>
    <x v="1"/>
    <s v="A2"/>
    <n v="94.670040485829958"/>
  </r>
  <r>
    <n v="12"/>
    <x v="22"/>
    <x v="0"/>
    <x v="3"/>
    <x v="1"/>
    <x v="22"/>
    <n v="26145"/>
    <x v="2"/>
    <x v="1"/>
    <s v="A2"/>
    <n v="56.590909090909093"/>
  </r>
  <r>
    <n v="30"/>
    <x v="23"/>
    <x v="0"/>
    <x v="3"/>
    <x v="1"/>
    <x v="23"/>
    <n v="15132"/>
    <x v="2"/>
    <x v="1"/>
    <s v="A2"/>
    <n v="52.179310344827584"/>
  </r>
  <r>
    <n v="33"/>
    <x v="24"/>
    <x v="3"/>
    <x v="3"/>
    <x v="2"/>
    <x v="24"/>
    <n v="679"/>
    <x v="2"/>
    <x v="1"/>
    <s v="A2"/>
    <n v="1.3287671232876712"/>
  </r>
  <r>
    <n v="94"/>
    <x v="25"/>
    <x v="1"/>
    <x v="3"/>
    <x v="1"/>
    <x v="25"/>
    <n v="24549"/>
    <x v="2"/>
    <x v="1"/>
    <s v="A2"/>
    <n v="141.90173410404626"/>
  </r>
  <r>
    <n v="112"/>
    <x v="26"/>
    <x v="3"/>
    <x v="3"/>
    <x v="1"/>
    <x v="26"/>
    <n v="31500"/>
    <x v="2"/>
    <x v="1"/>
    <s v="A2"/>
    <n v="508.06451612903226"/>
  </r>
  <r>
    <n v="5"/>
    <x v="27"/>
    <x v="2"/>
    <x v="4"/>
    <x v="0"/>
    <x v="27"/>
    <n v="41349"/>
    <x v="3"/>
    <x v="0"/>
    <s v="A2"/>
    <n v="232.29775280898878"/>
  </r>
  <r>
    <n v="6"/>
    <x v="14"/>
    <x v="0"/>
    <x v="4"/>
    <x v="0"/>
    <x v="28"/>
    <n v="19691"/>
    <x v="3"/>
    <x v="0"/>
    <s v="A2"/>
    <n v="49.104738154613464"/>
  </r>
  <r>
    <n v="14"/>
    <x v="28"/>
    <x v="2"/>
    <x v="4"/>
    <x v="1"/>
    <x v="29"/>
    <n v="679"/>
    <x v="3"/>
    <x v="0"/>
    <s v="A2"/>
    <n v="2.0451807228915664"/>
  </r>
  <r>
    <n v="16"/>
    <x v="29"/>
    <x v="1"/>
    <x v="4"/>
    <x v="3"/>
    <x v="30"/>
    <n v="18796"/>
    <x v="3"/>
    <x v="0"/>
    <s v="A2"/>
    <n v="97.388601036269435"/>
  </r>
  <r>
    <n v="25"/>
    <x v="30"/>
    <x v="0"/>
    <x v="4"/>
    <x v="1"/>
    <x v="31"/>
    <n v="31392"/>
    <x v="3"/>
    <x v="0"/>
    <s v="A2"/>
    <n v="71.50797266514806"/>
  </r>
  <r>
    <n v="36"/>
    <x v="31"/>
    <x v="0"/>
    <x v="4"/>
    <x v="0"/>
    <x v="32"/>
    <n v="50274"/>
    <x v="3"/>
    <x v="0"/>
    <s v="A2"/>
    <n v="109.29130434782608"/>
  </r>
  <r>
    <n v="48"/>
    <x v="32"/>
    <x v="1"/>
    <x v="4"/>
    <x v="2"/>
    <x v="33"/>
    <n v="11954"/>
    <x v="3"/>
    <x v="0"/>
    <s v="A2"/>
    <n v="55.859813084112147"/>
  </r>
  <r>
    <n v="49"/>
    <x v="14"/>
    <x v="2"/>
    <x v="4"/>
    <x v="0"/>
    <x v="34"/>
    <n v="36708"/>
    <x v="3"/>
    <x v="0"/>
    <s v="A2"/>
    <n v="496.05405405405406"/>
  </r>
  <r>
    <n v="67"/>
    <x v="33"/>
    <x v="0"/>
    <x v="4"/>
    <x v="1"/>
    <x v="24"/>
    <n v="16698"/>
    <x v="3"/>
    <x v="0"/>
    <s v="A2"/>
    <n v="32.677103718199611"/>
  </r>
  <r>
    <n v="78"/>
    <x v="11"/>
    <x v="2"/>
    <x v="4"/>
    <x v="1"/>
    <x v="35"/>
    <n v="679"/>
    <x v="3"/>
    <x v="0"/>
    <s v="A2"/>
    <n v="1.4602150537634409"/>
  </r>
  <r>
    <n v="83"/>
    <x v="34"/>
    <x v="0"/>
    <x v="4"/>
    <x v="0"/>
    <x v="36"/>
    <n v="65250"/>
    <x v="3"/>
    <x v="0"/>
    <s v="A2"/>
    <n v="119.72477064220183"/>
  </r>
  <r>
    <n v="89"/>
    <x v="35"/>
    <x v="0"/>
    <x v="4"/>
    <x v="2"/>
    <x v="37"/>
    <n v="679"/>
    <x v="3"/>
    <x v="0"/>
    <s v="A2"/>
    <n v="7"/>
  </r>
  <r>
    <n v="90"/>
    <x v="36"/>
    <x v="0"/>
    <x v="4"/>
    <x v="3"/>
    <x v="38"/>
    <n v="13310"/>
    <x v="3"/>
    <x v="0"/>
    <s v="A2"/>
    <n v="32.945544554455445"/>
  </r>
  <r>
    <n v="102"/>
    <x v="37"/>
    <x v="3"/>
    <x v="4"/>
    <x v="1"/>
    <x v="39"/>
    <n v="679"/>
    <x v="3"/>
    <x v="0"/>
    <s v="A2"/>
    <n v="1.8058510638297873"/>
  </r>
  <r>
    <n v="111"/>
    <x v="37"/>
    <x v="1"/>
    <x v="4"/>
    <x v="2"/>
    <x v="40"/>
    <n v="4221"/>
    <x v="3"/>
    <x v="0"/>
    <s v="A2"/>
    <n v="13.231974921630094"/>
  </r>
  <r>
    <n v="113"/>
    <x v="38"/>
    <x v="3"/>
    <x v="4"/>
    <x v="1"/>
    <x v="41"/>
    <n v="31414"/>
    <x v="3"/>
    <x v="0"/>
    <s v="A2"/>
    <n v="387.82716049382714"/>
  </r>
  <r>
    <n v="115"/>
    <x v="39"/>
    <x v="0"/>
    <x v="4"/>
    <x v="1"/>
    <x v="42"/>
    <n v="42432"/>
    <x v="3"/>
    <x v="0"/>
    <s v="A2"/>
    <n v="78.432532347504619"/>
  </r>
  <r>
    <n v="117"/>
    <x v="40"/>
    <x v="1"/>
    <x v="4"/>
    <x v="2"/>
    <x v="43"/>
    <n v="51168"/>
    <x v="3"/>
    <x v="0"/>
    <s v="A2"/>
    <n v="97.092979127134726"/>
  </r>
  <r>
    <n v="1"/>
    <x v="41"/>
    <x v="2"/>
    <x v="5"/>
    <x v="1"/>
    <x v="44"/>
    <n v="22288"/>
    <x v="2"/>
    <x v="1"/>
    <s v="A2"/>
    <n v="54.097087378640779"/>
  </r>
  <r>
    <n v="13"/>
    <x v="0"/>
    <x v="1"/>
    <x v="5"/>
    <x v="2"/>
    <x v="45"/>
    <n v="64090"/>
    <x v="2"/>
    <x v="1"/>
    <s v="A2"/>
    <n v="147.33333333333334"/>
  </r>
  <r>
    <n v="50"/>
    <x v="42"/>
    <x v="1"/>
    <x v="5"/>
    <x v="3"/>
    <x v="46"/>
    <n v="30600"/>
    <x v="2"/>
    <x v="1"/>
    <s v="A2"/>
    <n v="172.88135593220338"/>
  </r>
  <r>
    <n v="57"/>
    <x v="43"/>
    <x v="0"/>
    <x v="5"/>
    <x v="3"/>
    <x v="47"/>
    <n v="57706"/>
    <x v="2"/>
    <x v="1"/>
    <s v="A2"/>
    <n v="226.29803921568629"/>
  </r>
  <r>
    <n v="59"/>
    <x v="44"/>
    <x v="1"/>
    <x v="5"/>
    <x v="2"/>
    <x v="48"/>
    <n v="29440"/>
    <x v="2"/>
    <x v="1"/>
    <s v="A2"/>
    <n v="91.428571428571431"/>
  </r>
  <r>
    <n v="60"/>
    <x v="45"/>
    <x v="1"/>
    <x v="5"/>
    <x v="0"/>
    <x v="27"/>
    <n v="679"/>
    <x v="2"/>
    <x v="1"/>
    <s v="A2"/>
    <n v="3.8146067415730336"/>
  </r>
  <r>
    <n v="63"/>
    <x v="17"/>
    <x v="3"/>
    <x v="5"/>
    <x v="1"/>
    <x v="49"/>
    <n v="3186"/>
    <x v="2"/>
    <x v="1"/>
    <s v="A2"/>
    <n v="10.445901639344262"/>
  </r>
  <r>
    <n v="64"/>
    <x v="46"/>
    <x v="0"/>
    <x v="5"/>
    <x v="2"/>
    <x v="50"/>
    <n v="679"/>
    <x v="2"/>
    <x v="1"/>
    <s v="A2"/>
    <n v="3.6117021276595747"/>
  </r>
  <r>
    <n v="76"/>
    <x v="47"/>
    <x v="1"/>
    <x v="5"/>
    <x v="2"/>
    <x v="51"/>
    <n v="25758"/>
    <x v="2"/>
    <x v="1"/>
    <s v="A2"/>
    <n v="123.83653846153847"/>
  </r>
  <r>
    <n v="82"/>
    <x v="48"/>
    <x v="3"/>
    <x v="5"/>
    <x v="3"/>
    <x v="52"/>
    <n v="16740"/>
    <x v="2"/>
    <x v="1"/>
    <s v="A2"/>
    <n v="128.76923076923077"/>
  </r>
  <r>
    <n v="92"/>
    <x v="49"/>
    <x v="2"/>
    <x v="5"/>
    <x v="0"/>
    <x v="33"/>
    <n v="4984"/>
    <x v="2"/>
    <x v="1"/>
    <s v="A2"/>
    <n v="23.289719626168225"/>
  </r>
  <r>
    <n v="97"/>
    <x v="50"/>
    <x v="0"/>
    <x v="5"/>
    <x v="2"/>
    <x v="53"/>
    <n v="25254"/>
    <x v="2"/>
    <x v="1"/>
    <s v="A2"/>
    <n v="68.625"/>
  </r>
  <r>
    <n v="101"/>
    <x v="51"/>
    <x v="2"/>
    <x v="5"/>
    <x v="3"/>
    <x v="54"/>
    <n v="40565"/>
    <x v="2"/>
    <x v="1"/>
    <s v="A2"/>
    <n v="105.63802083333333"/>
  </r>
  <r>
    <n v="2"/>
    <x v="52"/>
    <x v="0"/>
    <x v="6"/>
    <x v="3"/>
    <x v="55"/>
    <n v="66500"/>
    <x v="4"/>
    <x v="1"/>
    <s v="A1"/>
    <n v="154.65116279069767"/>
  </r>
  <r>
    <n v="35"/>
    <x v="53"/>
    <x v="0"/>
    <x v="6"/>
    <x v="0"/>
    <x v="56"/>
    <n v="34680"/>
    <x v="4"/>
    <x v="1"/>
    <s v="A1"/>
    <n v="133.38461538461539"/>
  </r>
  <r>
    <n v="40"/>
    <x v="54"/>
    <x v="3"/>
    <x v="6"/>
    <x v="1"/>
    <x v="57"/>
    <n v="679"/>
    <x v="4"/>
    <x v="1"/>
    <s v="A1"/>
    <n v="4.1151515151515152"/>
  </r>
  <r>
    <n v="44"/>
    <x v="55"/>
    <x v="3"/>
    <x v="6"/>
    <x v="3"/>
    <x v="53"/>
    <n v="46068"/>
    <x v="4"/>
    <x v="1"/>
    <s v="A1"/>
    <n v="125.18478260869566"/>
  </r>
  <r>
    <n v="61"/>
    <x v="56"/>
    <x v="0"/>
    <x v="6"/>
    <x v="1"/>
    <x v="58"/>
    <n v="8475"/>
    <x v="4"/>
    <x v="1"/>
    <s v="A1"/>
    <n v="56.12582781456954"/>
  </r>
  <r>
    <n v="74"/>
    <x v="57"/>
    <x v="0"/>
    <x v="6"/>
    <x v="2"/>
    <x v="59"/>
    <n v="42028"/>
    <x v="4"/>
    <x v="1"/>
    <s v="A1"/>
    <n v="197.31455399061034"/>
  </r>
  <r>
    <n v="100"/>
    <x v="56"/>
    <x v="0"/>
    <x v="6"/>
    <x v="2"/>
    <x v="60"/>
    <n v="679"/>
    <x v="4"/>
    <x v="1"/>
    <s v="A1"/>
    <n v="2.2117263843648209"/>
  </r>
  <r>
    <n v="110"/>
    <x v="58"/>
    <x v="0"/>
    <x v="6"/>
    <x v="0"/>
    <x v="61"/>
    <n v="11092"/>
    <x v="4"/>
    <x v="1"/>
    <s v="A1"/>
    <n v="71.561290322580646"/>
  </r>
  <r>
    <n v="4"/>
    <x v="53"/>
    <x v="0"/>
    <x v="7"/>
    <x v="0"/>
    <x v="62"/>
    <n v="17069"/>
    <x v="5"/>
    <x v="2"/>
    <s v="A1"/>
    <n v="37.187363834422655"/>
  </r>
  <r>
    <n v="24"/>
    <x v="43"/>
    <x v="2"/>
    <x v="7"/>
    <x v="0"/>
    <x v="63"/>
    <n v="42873"/>
    <x v="5"/>
    <x v="2"/>
    <s v="A1"/>
    <n v="93.609170305676855"/>
  </r>
  <r>
    <n v="28"/>
    <x v="56"/>
    <x v="0"/>
    <x v="7"/>
    <x v="1"/>
    <x v="64"/>
    <n v="7272"/>
    <x v="5"/>
    <x v="2"/>
    <s v="A1"/>
    <n v="16.378378378378379"/>
  </r>
  <r>
    <n v="47"/>
    <x v="59"/>
    <x v="3"/>
    <x v="7"/>
    <x v="1"/>
    <x v="65"/>
    <n v="33284"/>
    <x v="5"/>
    <x v="2"/>
    <s v="A1"/>
    <n v="115.56944444444444"/>
  </r>
  <r>
    <n v="51"/>
    <x v="60"/>
    <x v="2"/>
    <x v="7"/>
    <x v="0"/>
    <x v="66"/>
    <n v="13568"/>
    <x v="5"/>
    <x v="2"/>
    <s v="A1"/>
    <n v="37.899441340782126"/>
  </r>
  <r>
    <n v="62"/>
    <x v="14"/>
    <x v="0"/>
    <x v="7"/>
    <x v="0"/>
    <x v="67"/>
    <n v="44330"/>
    <x v="5"/>
    <x v="2"/>
    <s v="A1"/>
    <n v="82.859813084112147"/>
  </r>
  <r>
    <n v="80"/>
    <x v="14"/>
    <x v="2"/>
    <x v="7"/>
    <x v="0"/>
    <x v="68"/>
    <n v="44525"/>
    <x v="5"/>
    <x v="2"/>
    <s v="A1"/>
    <n v="117.17105263157895"/>
  </r>
  <r>
    <n v="98"/>
    <x v="61"/>
    <x v="0"/>
    <x v="7"/>
    <x v="0"/>
    <x v="69"/>
    <n v="17500"/>
    <x v="5"/>
    <x v="2"/>
    <s v="A1"/>
    <n v="78.828828828828833"/>
  </r>
  <r>
    <n v="103"/>
    <x v="62"/>
    <x v="3"/>
    <x v="7"/>
    <x v="1"/>
    <x v="37"/>
    <n v="679"/>
    <x v="5"/>
    <x v="2"/>
    <s v="A1"/>
    <n v="7"/>
  </r>
  <r>
    <n v="114"/>
    <x v="63"/>
    <x v="1"/>
    <x v="7"/>
    <x v="1"/>
    <x v="70"/>
    <n v="40446"/>
    <x v="5"/>
    <x v="2"/>
    <s v="A1"/>
    <n v="321"/>
  </r>
  <r>
    <n v="119"/>
    <x v="6"/>
    <x v="0"/>
    <x v="7"/>
    <x v="2"/>
    <x v="71"/>
    <n v="56118"/>
    <x v="5"/>
    <x v="2"/>
    <s v="A1"/>
    <n v="282"/>
  </r>
  <r>
    <n v="9"/>
    <x v="47"/>
    <x v="0"/>
    <x v="8"/>
    <x v="2"/>
    <x v="72"/>
    <n v="25893"/>
    <x v="6"/>
    <x v="0"/>
    <s v="A1"/>
    <n v="470.78181818181821"/>
  </r>
  <r>
    <n v="10"/>
    <x v="64"/>
    <x v="0"/>
    <x v="8"/>
    <x v="1"/>
    <x v="73"/>
    <n v="38480"/>
    <x v="6"/>
    <x v="0"/>
    <s v="A1"/>
    <n v="97.171717171717177"/>
  </r>
  <r>
    <n v="15"/>
    <x v="65"/>
    <x v="1"/>
    <x v="8"/>
    <x v="1"/>
    <x v="74"/>
    <n v="39008"/>
    <x v="6"/>
    <x v="0"/>
    <s v="A1"/>
    <n v="101.8485639686684"/>
  </r>
  <r>
    <n v="17"/>
    <x v="51"/>
    <x v="0"/>
    <x v="8"/>
    <x v="0"/>
    <x v="75"/>
    <n v="65052"/>
    <x v="6"/>
    <x v="0"/>
    <s v="A1"/>
    <n v="271.05"/>
  </r>
  <r>
    <n v="20"/>
    <x v="34"/>
    <x v="0"/>
    <x v="8"/>
    <x v="2"/>
    <x v="76"/>
    <n v="27140"/>
    <x v="6"/>
    <x v="0"/>
    <s v="A1"/>
    <n v="81.993957703927492"/>
  </r>
  <r>
    <n v="21"/>
    <x v="66"/>
    <x v="2"/>
    <x v="8"/>
    <x v="0"/>
    <x v="77"/>
    <n v="11385"/>
    <x v="6"/>
    <x v="0"/>
    <s v="A1"/>
    <n v="45.54"/>
  </r>
  <r>
    <n v="26"/>
    <x v="67"/>
    <x v="0"/>
    <x v="8"/>
    <x v="1"/>
    <x v="78"/>
    <n v="47880"/>
    <x v="6"/>
    <x v="0"/>
    <s v="A1"/>
    <n v="117.93103448275862"/>
  </r>
  <r>
    <n v="27"/>
    <x v="68"/>
    <x v="0"/>
    <x v="8"/>
    <x v="2"/>
    <x v="79"/>
    <n v="13490"/>
    <x v="6"/>
    <x v="0"/>
    <s v="A1"/>
    <n v="31.966824644549764"/>
  </r>
  <r>
    <n v="29"/>
    <x v="69"/>
    <x v="0"/>
    <x v="8"/>
    <x v="2"/>
    <x v="80"/>
    <n v="48316"/>
    <x v="6"/>
    <x v="0"/>
    <s v="A1"/>
    <n v="96.825651302605209"/>
  </r>
  <r>
    <n v="31"/>
    <x v="70"/>
    <x v="1"/>
    <x v="8"/>
    <x v="2"/>
    <x v="81"/>
    <n v="5246"/>
    <x v="6"/>
    <x v="0"/>
    <s v="A1"/>
    <n v="14.21680216802168"/>
  </r>
  <r>
    <n v="32"/>
    <x v="71"/>
    <x v="3"/>
    <x v="8"/>
    <x v="1"/>
    <x v="82"/>
    <n v="37744"/>
    <x v="6"/>
    <x v="0"/>
    <s v="A1"/>
    <n v="97.028277634961441"/>
  </r>
  <r>
    <n v="38"/>
    <x v="72"/>
    <x v="0"/>
    <x v="8"/>
    <x v="2"/>
    <x v="83"/>
    <n v="14076"/>
    <x v="6"/>
    <x v="0"/>
    <s v="A1"/>
    <n v="122.4"/>
  </r>
  <r>
    <n v="41"/>
    <x v="73"/>
    <x v="0"/>
    <x v="8"/>
    <x v="3"/>
    <x v="84"/>
    <n v="35280"/>
    <x v="6"/>
    <x v="0"/>
    <s v="A1"/>
    <n v="691.76470588235293"/>
  </r>
  <r>
    <n v="42"/>
    <x v="74"/>
    <x v="1"/>
    <x v="8"/>
    <x v="1"/>
    <x v="85"/>
    <n v="37490"/>
    <x v="6"/>
    <x v="0"/>
    <s v="A1"/>
    <n v="98.141361256544499"/>
  </r>
  <r>
    <n v="43"/>
    <x v="75"/>
    <x v="1"/>
    <x v="8"/>
    <x v="1"/>
    <x v="86"/>
    <n v="679"/>
    <x v="6"/>
    <x v="0"/>
    <s v="A1"/>
    <n v="1.9180790960451977"/>
  </r>
  <r>
    <n v="52"/>
    <x v="14"/>
    <x v="2"/>
    <x v="8"/>
    <x v="0"/>
    <x v="87"/>
    <n v="33344"/>
    <x v="6"/>
    <x v="0"/>
    <s v="A1"/>
    <n v="97.212827988338191"/>
  </r>
  <r>
    <n v="53"/>
    <x v="76"/>
    <x v="3"/>
    <x v="8"/>
    <x v="0"/>
    <x v="88"/>
    <n v="3960"/>
    <x v="6"/>
    <x v="0"/>
    <s v="A1"/>
    <n v="62.857142857142854"/>
  </r>
  <r>
    <n v="55"/>
    <x v="77"/>
    <x v="2"/>
    <x v="8"/>
    <x v="3"/>
    <x v="89"/>
    <n v="59458"/>
    <x v="6"/>
    <x v="0"/>
    <s v="A1"/>
    <n v="121.09572301425662"/>
  </r>
  <r>
    <n v="56"/>
    <x v="78"/>
    <x v="0"/>
    <x v="8"/>
    <x v="1"/>
    <x v="90"/>
    <n v="13872"/>
    <x v="6"/>
    <x v="0"/>
    <s v="A1"/>
    <n v="40.325581395348834"/>
  </r>
  <r>
    <n v="58"/>
    <x v="79"/>
    <x v="2"/>
    <x v="8"/>
    <x v="1"/>
    <x v="91"/>
    <n v="59248"/>
    <x v="6"/>
    <x v="0"/>
    <s v="A1"/>
    <n v="370.3"/>
  </r>
  <r>
    <n v="65"/>
    <x v="80"/>
    <x v="3"/>
    <x v="8"/>
    <x v="1"/>
    <x v="92"/>
    <n v="679"/>
    <x v="6"/>
    <x v="0"/>
    <s v="A1"/>
    <n v="1.3717171717171717"/>
  </r>
  <r>
    <n v="70"/>
    <x v="39"/>
    <x v="1"/>
    <x v="8"/>
    <x v="3"/>
    <x v="93"/>
    <n v="36984"/>
    <x v="6"/>
    <x v="0"/>
    <s v="A1"/>
    <n v="110.4"/>
  </r>
  <r>
    <n v="72"/>
    <x v="81"/>
    <x v="1"/>
    <x v="8"/>
    <x v="3"/>
    <x v="94"/>
    <n v="7125"/>
    <x v="6"/>
    <x v="0"/>
    <s v="A1"/>
    <n v="32.683486238532112"/>
  </r>
  <r>
    <n v="73"/>
    <x v="82"/>
    <x v="0"/>
    <x v="8"/>
    <x v="0"/>
    <x v="95"/>
    <n v="12320"/>
    <x v="6"/>
    <x v="0"/>
    <s v="A1"/>
    <n v="46.490566037735846"/>
  </r>
  <r>
    <n v="77"/>
    <x v="83"/>
    <x v="0"/>
    <x v="8"/>
    <x v="3"/>
    <x v="83"/>
    <n v="34804"/>
    <x v="6"/>
    <x v="0"/>
    <s v="A1"/>
    <n v="302.64347826086959"/>
  </r>
  <r>
    <n v="79"/>
    <x v="84"/>
    <x v="3"/>
    <x v="8"/>
    <x v="0"/>
    <x v="96"/>
    <n v="45312"/>
    <x v="6"/>
    <x v="0"/>
    <s v="A1"/>
    <n v="87.306358381502889"/>
  </r>
  <r>
    <n v="81"/>
    <x v="21"/>
    <x v="3"/>
    <x v="8"/>
    <x v="1"/>
    <x v="97"/>
    <n v="3132"/>
    <x v="6"/>
    <x v="0"/>
    <s v="A1"/>
    <n v="97.875"/>
  </r>
  <r>
    <n v="85"/>
    <x v="85"/>
    <x v="0"/>
    <x v="8"/>
    <x v="2"/>
    <x v="98"/>
    <n v="18648"/>
    <x v="6"/>
    <x v="0"/>
    <s v="A1"/>
    <n v="97.125"/>
  </r>
  <r>
    <n v="87"/>
    <x v="86"/>
    <x v="0"/>
    <x v="8"/>
    <x v="3"/>
    <x v="99"/>
    <n v="51221"/>
    <x v="6"/>
    <x v="0"/>
    <s v="A1"/>
    <n v="245.07655502392345"/>
  </r>
  <r>
    <n v="91"/>
    <x v="87"/>
    <x v="1"/>
    <x v="8"/>
    <x v="0"/>
    <x v="100"/>
    <n v="47952"/>
    <x v="6"/>
    <x v="0"/>
    <s v="A1"/>
    <n v="124.2279792746114"/>
  </r>
  <r>
    <n v="95"/>
    <x v="88"/>
    <x v="1"/>
    <x v="8"/>
    <x v="3"/>
    <x v="101"/>
    <n v="679"/>
    <x v="6"/>
    <x v="0"/>
    <s v="A1"/>
    <n v="2.2189542483660132"/>
  </r>
  <r>
    <n v="99"/>
    <x v="89"/>
    <x v="0"/>
    <x v="8"/>
    <x v="2"/>
    <x v="102"/>
    <n v="36934"/>
    <x v="6"/>
    <x v="0"/>
    <s v="A1"/>
    <n v="170.99074074074073"/>
  </r>
  <r>
    <n v="104"/>
    <x v="90"/>
    <x v="0"/>
    <x v="8"/>
    <x v="0"/>
    <x v="103"/>
    <n v="12753"/>
    <x v="6"/>
    <x v="0"/>
    <s v="A1"/>
    <n v="35.523676880222844"/>
  </r>
  <r>
    <n v="105"/>
    <x v="14"/>
    <x v="1"/>
    <x v="8"/>
    <x v="0"/>
    <x v="104"/>
    <n v="16864"/>
    <x v="6"/>
    <x v="0"/>
    <s v="A1"/>
    <n v="53.031446540880502"/>
  </r>
  <r>
    <n v="106"/>
    <x v="91"/>
    <x v="2"/>
    <x v="8"/>
    <x v="1"/>
    <x v="84"/>
    <n v="56888"/>
    <x v="6"/>
    <x v="0"/>
    <s v="A1"/>
    <n v="1115.4509803921569"/>
  </r>
  <r>
    <n v="108"/>
    <x v="92"/>
    <x v="0"/>
    <x v="8"/>
    <x v="1"/>
    <x v="33"/>
    <n v="31122"/>
    <x v="6"/>
    <x v="0"/>
    <s v="A1"/>
    <n v="145.42990654205607"/>
  </r>
  <r>
    <n v="118"/>
    <x v="93"/>
    <x v="0"/>
    <x v="8"/>
    <x v="1"/>
    <x v="105"/>
    <n v="24948"/>
    <x v="6"/>
    <x v="0"/>
    <s v="A1"/>
    <n v="86.325259515570934"/>
  </r>
  <r>
    <n v="3"/>
    <x v="94"/>
    <x v="1"/>
    <x v="9"/>
    <x v="0"/>
    <x v="106"/>
    <n v="76076"/>
    <x v="7"/>
    <x v="0"/>
    <s v="A1"/>
    <n v="159.15481171548117"/>
  </r>
  <r>
    <n v="39"/>
    <x v="95"/>
    <x v="1"/>
    <x v="9"/>
    <x v="1"/>
    <x v="107"/>
    <n v="12870"/>
    <x v="7"/>
    <x v="0"/>
    <s v="A1"/>
    <n v="51.895161290322584"/>
  </r>
  <r>
    <n v="45"/>
    <x v="96"/>
    <x v="0"/>
    <x v="9"/>
    <x v="2"/>
    <x v="108"/>
    <n v="11078"/>
    <x v="7"/>
    <x v="0"/>
    <s v="A1"/>
    <n v="140.22784810126583"/>
  </r>
  <r>
    <n v="69"/>
    <x v="97"/>
    <x v="3"/>
    <x v="9"/>
    <x v="3"/>
    <x v="109"/>
    <n v="679"/>
    <x v="7"/>
    <x v="0"/>
    <s v="A1"/>
    <n v="3.7103825136612021"/>
  </r>
  <r>
    <n v="120"/>
    <x v="98"/>
    <x v="3"/>
    <x v="9"/>
    <x v="1"/>
    <x v="110"/>
    <n v="46548"/>
    <x v="7"/>
    <x v="0"/>
    <s v="A1"/>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FDC8C9-6B3C-4CCD-B0BF-6234A55AD5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4">
    <pivotField showAll="0"/>
    <pivotField numFmtId="14" showAll="0">
      <items count="100">
        <item x="32"/>
        <item x="78"/>
        <item x="57"/>
        <item x="23"/>
        <item x="2"/>
        <item x="53"/>
        <item x="51"/>
        <item x="76"/>
        <item x="47"/>
        <item x="54"/>
        <item x="59"/>
        <item x="31"/>
        <item x="39"/>
        <item x="63"/>
        <item x="42"/>
        <item x="30"/>
        <item x="9"/>
        <item x="90"/>
        <item x="33"/>
        <item x="16"/>
        <item x="75"/>
        <item x="34"/>
        <item x="20"/>
        <item x="92"/>
        <item x="93"/>
        <item x="62"/>
        <item x="19"/>
        <item x="61"/>
        <item x="56"/>
        <item x="36"/>
        <item x="79"/>
        <item x="50"/>
        <item x="12"/>
        <item x="43"/>
        <item x="15"/>
        <item x="66"/>
        <item x="6"/>
        <item x="5"/>
        <item x="85"/>
        <item x="29"/>
        <item x="49"/>
        <item x="86"/>
        <item x="21"/>
        <item x="69"/>
        <item x="7"/>
        <item x="35"/>
        <item x="14"/>
        <item x="81"/>
        <item x="18"/>
        <item x="98"/>
        <item x="60"/>
        <item x="4"/>
        <item x="38"/>
        <item x="71"/>
        <item x="45"/>
        <item x="40"/>
        <item x="13"/>
        <item x="80"/>
        <item x="41"/>
        <item x="10"/>
        <item x="58"/>
        <item x="3"/>
        <item x="91"/>
        <item x="65"/>
        <item x="73"/>
        <item x="22"/>
        <item x="8"/>
        <item x="52"/>
        <item x="24"/>
        <item x="74"/>
        <item x="25"/>
        <item x="46"/>
        <item x="87"/>
        <item x="27"/>
        <item x="55"/>
        <item x="44"/>
        <item x="48"/>
        <item x="96"/>
        <item x="89"/>
        <item x="28"/>
        <item x="72"/>
        <item x="11"/>
        <item x="0"/>
        <item x="83"/>
        <item x="95"/>
        <item x="37"/>
        <item x="94"/>
        <item x="82"/>
        <item x="64"/>
        <item x="17"/>
        <item x="68"/>
        <item x="1"/>
        <item x="88"/>
        <item x="26"/>
        <item x="67"/>
        <item x="97"/>
        <item x="70"/>
        <item x="84"/>
        <item x="77"/>
        <item t="default"/>
      </items>
    </pivotField>
    <pivotField showAll="0">
      <items count="5">
        <item x="3"/>
        <item x="1"/>
        <item x="2"/>
        <item x="0"/>
        <item t="default"/>
      </items>
    </pivotField>
    <pivotField showAll="0"/>
    <pivotField axis="axisRow" showAll="0">
      <items count="5">
        <item x="1"/>
        <item x="2"/>
        <item x="3"/>
        <item x="0"/>
        <item t="default"/>
      </items>
    </pivotField>
    <pivotField showAll="0"/>
    <pivotField dataField="1" showAll="0"/>
    <pivotField showAll="0">
      <items count="9">
        <item x="2"/>
        <item x="3"/>
        <item x="0"/>
        <item x="7"/>
        <item x="6"/>
        <item x="1"/>
        <item x="4"/>
        <item x="5"/>
        <item t="default"/>
      </items>
    </pivotField>
    <pivotField showAll="0">
      <items count="4">
        <item x="1"/>
        <item x="0"/>
        <item x="2"/>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1">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3"/>
          </reference>
        </references>
      </pivotArea>
    </chartFormat>
    <chartFormat chart="5" format="2">
      <pivotArea type="data" outline="0" fieldPosition="0">
        <references count="2">
          <reference field="4294967294" count="1" selected="0">
            <x v="0"/>
          </reference>
          <reference field="4" count="1" selected="0">
            <x v="2"/>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4" count="1" selected="0">
            <x v="0"/>
          </reference>
        </references>
      </pivotArea>
    </chartFormat>
    <chartFormat chart="11" format="12">
      <pivotArea type="data" outline="0" fieldPosition="0">
        <references count="2">
          <reference field="4294967294" count="1" selected="0">
            <x v="0"/>
          </reference>
          <reference field="4" count="1" selected="0">
            <x v="1"/>
          </reference>
        </references>
      </pivotArea>
    </chartFormat>
    <chartFormat chart="11" format="13">
      <pivotArea type="data" outline="0" fieldPosition="0">
        <references count="2">
          <reference field="4294967294" count="1" selected="0">
            <x v="0"/>
          </reference>
          <reference field="4" count="1" selected="0">
            <x v="2"/>
          </reference>
        </references>
      </pivotArea>
    </chartFormat>
    <chartFormat chart="1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DA4FD3-36C9-4E1B-A825-A765D6BA02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4">
    <pivotField dataField="1" showAll="0"/>
    <pivotField numFmtId="14" showAll="0">
      <items count="100">
        <item x="32"/>
        <item x="78"/>
        <item x="57"/>
        <item x="23"/>
        <item x="2"/>
        <item x="53"/>
        <item x="51"/>
        <item x="76"/>
        <item x="47"/>
        <item x="54"/>
        <item x="59"/>
        <item x="31"/>
        <item x="39"/>
        <item x="63"/>
        <item x="42"/>
        <item x="30"/>
        <item x="9"/>
        <item x="90"/>
        <item x="33"/>
        <item x="16"/>
        <item x="75"/>
        <item x="34"/>
        <item x="20"/>
        <item x="92"/>
        <item x="93"/>
        <item x="62"/>
        <item x="19"/>
        <item x="61"/>
        <item x="56"/>
        <item x="36"/>
        <item x="79"/>
        <item x="50"/>
        <item x="12"/>
        <item x="43"/>
        <item x="15"/>
        <item x="66"/>
        <item x="6"/>
        <item x="5"/>
        <item x="85"/>
        <item x="29"/>
        <item x="49"/>
        <item x="86"/>
        <item x="21"/>
        <item x="69"/>
        <item x="7"/>
        <item x="35"/>
        <item x="14"/>
        <item x="81"/>
        <item x="18"/>
        <item x="98"/>
        <item x="60"/>
        <item x="4"/>
        <item x="38"/>
        <item x="71"/>
        <item x="45"/>
        <item x="40"/>
        <item x="13"/>
        <item x="80"/>
        <item x="41"/>
        <item x="10"/>
        <item x="58"/>
        <item x="3"/>
        <item x="91"/>
        <item x="65"/>
        <item x="73"/>
        <item x="22"/>
        <item x="8"/>
        <item x="52"/>
        <item x="24"/>
        <item x="74"/>
        <item x="25"/>
        <item x="46"/>
        <item x="87"/>
        <item x="27"/>
        <item x="55"/>
        <item x="44"/>
        <item x="48"/>
        <item x="96"/>
        <item x="89"/>
        <item x="28"/>
        <item x="72"/>
        <item x="11"/>
        <item x="0"/>
        <item x="83"/>
        <item x="95"/>
        <item x="37"/>
        <item x="94"/>
        <item x="82"/>
        <item x="64"/>
        <item x="17"/>
        <item x="68"/>
        <item x="1"/>
        <item x="88"/>
        <item x="26"/>
        <item x="67"/>
        <item x="97"/>
        <item x="70"/>
        <item x="84"/>
        <item x="77"/>
        <item t="default"/>
      </items>
    </pivotField>
    <pivotField showAll="0">
      <items count="5">
        <item x="3"/>
        <item x="1"/>
        <item x="2"/>
        <item x="0"/>
        <item t="default"/>
      </items>
    </pivotField>
    <pivotField axis="axisRow" showAll="0">
      <items count="11">
        <item x="0"/>
        <item x="1"/>
        <item x="2"/>
        <item x="3"/>
        <item x="4"/>
        <item x="5"/>
        <item x="6"/>
        <item x="7"/>
        <item x="8"/>
        <item x="9"/>
        <item t="default"/>
      </items>
    </pivotField>
    <pivotField showAll="0">
      <items count="5">
        <item x="1"/>
        <item x="2"/>
        <item x="3"/>
        <item x="0"/>
        <item t="default"/>
      </items>
    </pivotField>
    <pivotField showAll="0"/>
    <pivotField showAll="0"/>
    <pivotField showAll="0">
      <items count="9">
        <item x="2"/>
        <item x="3"/>
        <item x="0"/>
        <item x="7"/>
        <item x="6"/>
        <item x="1"/>
        <item x="4"/>
        <item x="5"/>
        <item t="default"/>
      </items>
    </pivotField>
    <pivotField showAll="0">
      <items count="4">
        <item x="1"/>
        <item x="0"/>
        <item x="2"/>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Count of ProductionID" fld="0" subtotal="count" baseField="3" baseItem="0"/>
  </dataFields>
  <chartFormats count="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8"/>
          </reference>
        </references>
      </pivotArea>
    </chartFormat>
    <chartFormat chart="6" format="2">
      <pivotArea type="data" outline="0" fieldPosition="0">
        <references count="2">
          <reference field="4294967294" count="1" selected="0">
            <x v="0"/>
          </reference>
          <reference field="3" count="1" selected="0">
            <x v="9"/>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9"/>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3514BB-213C-4D1E-AD87-FACE645550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32"/>
        <item x="78"/>
        <item x="57"/>
        <item x="23"/>
        <item x="2"/>
        <item x="53"/>
        <item x="51"/>
        <item x="76"/>
        <item x="47"/>
        <item x="54"/>
        <item x="59"/>
        <item x="31"/>
        <item x="39"/>
        <item x="63"/>
        <item x="42"/>
        <item x="30"/>
        <item x="9"/>
        <item x="90"/>
        <item x="33"/>
        <item x="16"/>
        <item x="75"/>
        <item x="34"/>
        <item x="20"/>
        <item x="92"/>
        <item x="93"/>
        <item x="62"/>
        <item x="19"/>
        <item x="61"/>
        <item x="56"/>
        <item x="36"/>
        <item x="79"/>
        <item x="50"/>
        <item x="12"/>
        <item x="43"/>
        <item x="15"/>
        <item x="66"/>
        <item x="6"/>
        <item x="5"/>
        <item x="85"/>
        <item x="29"/>
        <item x="49"/>
        <item x="86"/>
        <item x="21"/>
        <item x="69"/>
        <item x="7"/>
        <item x="35"/>
        <item x="14"/>
        <item x="81"/>
        <item x="18"/>
        <item x="98"/>
        <item x="60"/>
        <item x="4"/>
        <item x="38"/>
        <item x="71"/>
        <item x="45"/>
        <item x="40"/>
        <item x="13"/>
        <item x="80"/>
        <item x="41"/>
        <item x="10"/>
        <item x="58"/>
        <item x="3"/>
        <item x="91"/>
        <item x="65"/>
        <item x="73"/>
        <item x="22"/>
        <item x="8"/>
        <item x="52"/>
        <item x="24"/>
        <item x="74"/>
        <item x="25"/>
        <item x="46"/>
        <item x="87"/>
        <item x="27"/>
        <item x="55"/>
        <item x="44"/>
        <item x="48"/>
        <item x="96"/>
        <item x="89"/>
        <item x="28"/>
        <item x="72"/>
        <item x="11"/>
        <item x="0"/>
        <item x="83"/>
        <item x="95"/>
        <item x="37"/>
        <item x="94"/>
        <item x="82"/>
        <item x="64"/>
        <item x="17"/>
        <item x="68"/>
        <item x="1"/>
        <item x="88"/>
        <item x="26"/>
        <item x="67"/>
        <item x="97"/>
        <item x="70"/>
        <item x="84"/>
        <item x="77"/>
        <item t="default"/>
      </items>
    </pivotField>
    <pivotField showAll="0">
      <items count="5">
        <item x="3"/>
        <item x="1"/>
        <item x="2"/>
        <item x="0"/>
        <item t="default"/>
      </items>
    </pivotField>
    <pivotField showAll="0"/>
    <pivotField axis="axisRow" showAll="0">
      <items count="5">
        <item x="1"/>
        <item x="2"/>
        <item x="3"/>
        <item x="0"/>
        <item t="default"/>
      </items>
    </pivotField>
    <pivotField showAll="0"/>
    <pivotField showAll="0"/>
    <pivotField showAll="0">
      <items count="9">
        <item x="2"/>
        <item x="3"/>
        <item x="0"/>
        <item x="7"/>
        <item x="6"/>
        <item x="1"/>
        <item x="4"/>
        <item x="5"/>
        <item t="default"/>
      </items>
    </pivotField>
    <pivotField showAll="0">
      <items count="4">
        <item x="1"/>
        <item x="0"/>
        <item x="2"/>
        <item t="default"/>
      </items>
    </pivotField>
    <pivotField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FCD436-E750-4948-9B36-75F57DBDB25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4">
    <pivotField showAll="0"/>
    <pivotField numFmtId="14" showAll="0">
      <items count="100">
        <item x="32"/>
        <item x="78"/>
        <item x="57"/>
        <item x="23"/>
        <item x="2"/>
        <item x="53"/>
        <item x="51"/>
        <item x="76"/>
        <item x="47"/>
        <item x="54"/>
        <item x="59"/>
        <item x="31"/>
        <item x="39"/>
        <item x="63"/>
        <item x="42"/>
        <item x="30"/>
        <item x="9"/>
        <item x="90"/>
        <item x="33"/>
        <item x="16"/>
        <item x="75"/>
        <item x="34"/>
        <item x="20"/>
        <item x="92"/>
        <item x="93"/>
        <item x="62"/>
        <item x="19"/>
        <item x="61"/>
        <item x="56"/>
        <item x="36"/>
        <item x="79"/>
        <item x="50"/>
        <item x="12"/>
        <item x="43"/>
        <item x="15"/>
        <item x="66"/>
        <item x="6"/>
        <item x="5"/>
        <item x="85"/>
        <item x="29"/>
        <item x="49"/>
        <item x="86"/>
        <item x="21"/>
        <item x="69"/>
        <item x="7"/>
        <item x="35"/>
        <item x="14"/>
        <item x="81"/>
        <item x="18"/>
        <item x="98"/>
        <item x="60"/>
        <item x="4"/>
        <item x="38"/>
        <item x="71"/>
        <item x="45"/>
        <item x="40"/>
        <item x="13"/>
        <item x="80"/>
        <item x="41"/>
        <item x="10"/>
        <item x="58"/>
        <item x="3"/>
        <item x="91"/>
        <item x="65"/>
        <item x="73"/>
        <item x="22"/>
        <item x="8"/>
        <item x="52"/>
        <item x="24"/>
        <item x="74"/>
        <item x="25"/>
        <item x="46"/>
        <item x="87"/>
        <item x="27"/>
        <item x="55"/>
        <item x="44"/>
        <item x="48"/>
        <item x="96"/>
        <item x="89"/>
        <item x="28"/>
        <item x="72"/>
        <item x="11"/>
        <item x="0"/>
        <item x="83"/>
        <item x="95"/>
        <item x="37"/>
        <item x="94"/>
        <item x="82"/>
        <item x="64"/>
        <item x="17"/>
        <item x="68"/>
        <item x="1"/>
        <item x="88"/>
        <item x="26"/>
        <item x="67"/>
        <item x="97"/>
        <item x="70"/>
        <item x="84"/>
        <item x="77"/>
        <item t="default"/>
      </items>
    </pivotField>
    <pivotField axis="axisRow" showAll="0">
      <items count="5">
        <item x="3"/>
        <item x="1"/>
        <item x="2"/>
        <item x="0"/>
        <item t="default"/>
      </items>
    </pivotField>
    <pivotField showAll="0"/>
    <pivotField showAll="0">
      <items count="5">
        <item x="1"/>
        <item x="2"/>
        <item x="3"/>
        <item x="0"/>
        <item t="default"/>
      </items>
    </pivotField>
    <pivotField dataField="1" showAll="0"/>
    <pivotField showAll="0"/>
    <pivotField showAll="0">
      <items count="9">
        <item x="2"/>
        <item x="3"/>
        <item x="0"/>
        <item x="7"/>
        <item x="6"/>
        <item x="1"/>
        <item x="4"/>
        <item x="5"/>
        <item t="default"/>
      </items>
    </pivotField>
    <pivotField showAll="0">
      <items count="4">
        <item x="1"/>
        <item x="0"/>
        <item x="2"/>
        <item t="default"/>
      </items>
    </pivotField>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UnitsProduce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1E6E5-B82D-4C60-B183-9AC0F9F8E9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4">
    <pivotField showAll="0"/>
    <pivotField numFmtId="14" showAll="0">
      <items count="100">
        <item x="32"/>
        <item x="78"/>
        <item x="57"/>
        <item x="23"/>
        <item x="2"/>
        <item x="53"/>
        <item x="51"/>
        <item x="76"/>
        <item x="47"/>
        <item x="54"/>
        <item x="59"/>
        <item x="31"/>
        <item x="39"/>
        <item x="63"/>
        <item x="42"/>
        <item x="30"/>
        <item x="9"/>
        <item x="90"/>
        <item x="33"/>
        <item x="16"/>
        <item x="75"/>
        <item x="34"/>
        <item x="20"/>
        <item x="92"/>
        <item x="93"/>
        <item x="62"/>
        <item x="19"/>
        <item x="61"/>
        <item x="56"/>
        <item x="36"/>
        <item x="79"/>
        <item x="50"/>
        <item x="12"/>
        <item x="43"/>
        <item x="15"/>
        <item x="66"/>
        <item x="6"/>
        <item x="5"/>
        <item x="85"/>
        <item x="29"/>
        <item x="49"/>
        <item x="86"/>
        <item x="21"/>
        <item x="69"/>
        <item x="7"/>
        <item x="35"/>
        <item x="14"/>
        <item x="81"/>
        <item x="18"/>
        <item x="98"/>
        <item x="60"/>
        <item x="4"/>
        <item x="38"/>
        <item x="71"/>
        <item x="45"/>
        <item x="40"/>
        <item x="13"/>
        <item x="80"/>
        <item x="41"/>
        <item x="10"/>
        <item x="58"/>
        <item x="3"/>
        <item x="91"/>
        <item x="65"/>
        <item x="73"/>
        <item x="22"/>
        <item x="8"/>
        <item x="52"/>
        <item x="24"/>
        <item x="74"/>
        <item x="25"/>
        <item x="46"/>
        <item x="87"/>
        <item x="27"/>
        <item x="55"/>
        <item x="44"/>
        <item x="48"/>
        <item x="96"/>
        <item x="89"/>
        <item x="28"/>
        <item x="72"/>
        <item x="11"/>
        <item x="0"/>
        <item x="83"/>
        <item x="95"/>
        <item x="37"/>
        <item x="94"/>
        <item x="82"/>
        <item x="64"/>
        <item x="17"/>
        <item x="68"/>
        <item x="1"/>
        <item x="88"/>
        <item x="26"/>
        <item x="67"/>
        <item x="97"/>
        <item x="70"/>
        <item x="84"/>
        <item x="77"/>
        <item t="default"/>
      </items>
    </pivotField>
    <pivotField showAll="0">
      <items count="5">
        <item x="3"/>
        <item x="1"/>
        <item x="2"/>
        <item x="0"/>
        <item t="default"/>
      </items>
    </pivotField>
    <pivotField showAll="0"/>
    <pivotField showAll="0">
      <items count="5">
        <item x="1"/>
        <item x="2"/>
        <item x="3"/>
        <item x="0"/>
        <item t="default"/>
      </items>
    </pivotField>
    <pivotField dataField="1" showAll="0"/>
    <pivotField showAll="0"/>
    <pivotField axis="axisRow" showAll="0">
      <items count="9">
        <item x="2"/>
        <item x="3"/>
        <item x="0"/>
        <item x="7"/>
        <item x="6"/>
        <item x="1"/>
        <item x="4"/>
        <item x="5"/>
        <item t="default"/>
      </items>
    </pivotField>
    <pivotField showAll="0">
      <items count="4">
        <item x="1"/>
        <item x="0"/>
        <item x="2"/>
        <item t="default"/>
      </items>
    </pivotField>
    <pivotField showAll="0"/>
    <pivotField numFmtId="1" showAll="0"/>
    <pivotField showAll="0" defaultSubtotal="0"/>
    <pivotField showAll="0" defaultSubtotal="0"/>
    <pivotField showAll="0" defaultSubtotal="0">
      <items count="4">
        <item x="0"/>
        <item x="1"/>
        <item x="2"/>
        <item x="3"/>
      </items>
    </pivotField>
  </pivotFields>
  <rowFields count="1">
    <field x="7"/>
  </rowFields>
  <rowItems count="9">
    <i>
      <x/>
    </i>
    <i>
      <x v="1"/>
    </i>
    <i>
      <x v="2"/>
    </i>
    <i>
      <x v="3"/>
    </i>
    <i>
      <x v="4"/>
    </i>
    <i>
      <x v="5"/>
    </i>
    <i>
      <x v="6"/>
    </i>
    <i>
      <x v="7"/>
    </i>
    <i t="grand">
      <x/>
    </i>
  </rowItems>
  <colItems count="1">
    <i/>
  </colItems>
  <dataFields count="1">
    <dataField name="Sum of UnitsProduced" fld="5" baseField="0" baseItem="0" numFmtId="164"/>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CC551A-A89E-49E7-9D79-52AFB3E7F2CB}" sourceName="Region">
  <pivotTables>
    <pivotTable tabId="4" name="PivotTable2"/>
    <pivotTable tabId="5" name="PivotTable3"/>
    <pivotTable tabId="6" name="PivotTable4"/>
    <pivotTable tabId="7" name="PivotTable5"/>
    <pivotTable tabId="9" name="PivotTable7"/>
  </pivotTables>
  <data>
    <tabular pivotCacheId="1889798657">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 xr10:uid="{23EA57A5-26DA-422A-9369-66CF5F10179A}" sourceName="ProductType">
  <pivotTables>
    <pivotTable tabId="4" name="PivotTable2"/>
    <pivotTable tabId="5" name="PivotTable3"/>
    <pivotTable tabId="6" name="PivotTable4"/>
    <pivotTable tabId="7" name="PivotTable5"/>
    <pivotTable tabId="9" name="PivotTable7"/>
  </pivotTables>
  <data>
    <tabular pivotCacheId="1889798657">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ue_Age" xr10:uid="{6022AD46-0BAE-44D5-9B3B-80AAFA243D96}" sourceName="True Age">
  <pivotTables>
    <pivotTable tabId="4" name="PivotTable2"/>
    <pivotTable tabId="5" name="PivotTable3"/>
    <pivotTable tabId="6" name="PivotTable4"/>
    <pivotTable tabId="7" name="PivotTable5"/>
    <pivotTable tabId="9" name="PivotTable7"/>
  </pivotTables>
  <data>
    <tabular pivotCacheId="1889798657">
      <items count="8">
        <i x="2" s="1"/>
        <i x="3" s="1"/>
        <i x="0" s="1"/>
        <i x="7" s="1"/>
        <i x="6"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Gender" xr10:uid="{BAF3672E-0238-4582-8561-D080C1308B00}" sourceName="New Gender">
  <pivotTables>
    <pivotTable tabId="4" name="PivotTable2"/>
    <pivotTable tabId="5" name="PivotTable3"/>
    <pivotTable tabId="6" name="PivotTable4"/>
    <pivotTable tabId="7" name="PivotTable5"/>
    <pivotTable tabId="9" name="PivotTable7"/>
  </pivotTables>
  <data>
    <tabular pivotCacheId="188979865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F480B3-DD50-4762-B728-391311FBAA05}" cache="Slicer_Region" caption="Region" rowHeight="234950"/>
  <slicer name="ProductType" xr10:uid="{14E49D87-A647-4631-A25D-94A9B393D9ED}" cache="Slicer_ProductType" caption="ProductType" rowHeight="234950"/>
  <slicer name="True Age" xr10:uid="{7D71D947-098E-4382-9893-5FD86548F316}" cache="Slicer_True_Age" caption="True Age" rowHeight="234950"/>
  <slicer name="New Gender" xr10:uid="{0F03FC76-30A1-4FCE-A913-C16F73FEC17A}" cache="Slicer_New_Gender" caption="New 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D7E4-F9AE-43D4-A21B-224C6F785DDF}">
  <dimension ref="A3:B8"/>
  <sheetViews>
    <sheetView workbookViewId="0">
      <selection activeCell="N22" sqref="N22"/>
    </sheetView>
  </sheetViews>
  <sheetFormatPr defaultRowHeight="14.4" x14ac:dyDescent="0.3"/>
  <cols>
    <col min="1" max="1" width="12.5546875" bestFit="1" customWidth="1"/>
    <col min="2" max="2" width="15.44140625" bestFit="1" customWidth="1"/>
  </cols>
  <sheetData>
    <row r="3" spans="1:2" x14ac:dyDescent="0.3">
      <c r="A3" s="2" t="s">
        <v>30</v>
      </c>
      <c r="B3" t="s">
        <v>32</v>
      </c>
    </row>
    <row r="4" spans="1:2" x14ac:dyDescent="0.3">
      <c r="A4" s="3" t="s">
        <v>9</v>
      </c>
      <c r="B4" s="5">
        <v>1152805</v>
      </c>
    </row>
    <row r="5" spans="1:2" x14ac:dyDescent="0.3">
      <c r="A5" s="3" t="s">
        <v>22</v>
      </c>
      <c r="B5" s="5">
        <v>604575</v>
      </c>
    </row>
    <row r="6" spans="1:2" x14ac:dyDescent="0.3">
      <c r="A6" s="3" t="s">
        <v>13</v>
      </c>
      <c r="B6" s="5">
        <v>703282</v>
      </c>
    </row>
    <row r="7" spans="1:2" x14ac:dyDescent="0.3">
      <c r="A7" s="3" t="s">
        <v>16</v>
      </c>
      <c r="B7" s="5">
        <v>910416</v>
      </c>
    </row>
    <row r="8" spans="1:2" x14ac:dyDescent="0.3">
      <c r="A8" s="3" t="s">
        <v>31</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98399-F7A3-4C3F-994E-F716CD54B4F8}">
  <dimension ref="A3:B14"/>
  <sheetViews>
    <sheetView workbookViewId="0">
      <selection activeCell="N19" sqref="N19"/>
    </sheetView>
  </sheetViews>
  <sheetFormatPr defaultRowHeight="14.4" x14ac:dyDescent="0.3"/>
  <cols>
    <col min="1" max="1" width="12.5546875" bestFit="1" customWidth="1"/>
    <col min="2" max="2" width="20.109375" bestFit="1" customWidth="1"/>
  </cols>
  <sheetData>
    <row r="3" spans="1:2" x14ac:dyDescent="0.3">
      <c r="A3" s="2" t="s">
        <v>30</v>
      </c>
      <c r="B3" t="s">
        <v>34</v>
      </c>
    </row>
    <row r="4" spans="1:2" x14ac:dyDescent="0.3">
      <c r="A4" s="3" t="s">
        <v>20</v>
      </c>
      <c r="B4">
        <v>10</v>
      </c>
    </row>
    <row r="5" spans="1:2" x14ac:dyDescent="0.3">
      <c r="A5" s="3" t="s">
        <v>25</v>
      </c>
      <c r="B5">
        <v>6</v>
      </c>
    </row>
    <row r="6" spans="1:2" x14ac:dyDescent="0.3">
      <c r="A6" s="3" t="s">
        <v>21</v>
      </c>
      <c r="B6">
        <v>6</v>
      </c>
    </row>
    <row r="7" spans="1:2" x14ac:dyDescent="0.3">
      <c r="A7" s="3" t="s">
        <v>24</v>
      </c>
      <c r="B7">
        <v>6</v>
      </c>
    </row>
    <row r="8" spans="1:2" x14ac:dyDescent="0.3">
      <c r="A8" s="3" t="s">
        <v>19</v>
      </c>
      <c r="B8">
        <v>18</v>
      </c>
    </row>
    <row r="9" spans="1:2" x14ac:dyDescent="0.3">
      <c r="A9" s="3" t="s">
        <v>8</v>
      </c>
      <c r="B9">
        <v>13</v>
      </c>
    </row>
    <row r="10" spans="1:2" x14ac:dyDescent="0.3">
      <c r="A10" s="3" t="s">
        <v>12</v>
      </c>
      <c r="B10">
        <v>8</v>
      </c>
    </row>
    <row r="11" spans="1:2" x14ac:dyDescent="0.3">
      <c r="A11" s="3" t="s">
        <v>18</v>
      </c>
      <c r="B11">
        <v>11</v>
      </c>
    </row>
    <row r="12" spans="1:2" x14ac:dyDescent="0.3">
      <c r="A12" s="3" t="s">
        <v>23</v>
      </c>
      <c r="B12">
        <v>37</v>
      </c>
    </row>
    <row r="13" spans="1:2" x14ac:dyDescent="0.3">
      <c r="A13" s="3" t="s">
        <v>15</v>
      </c>
      <c r="B13">
        <v>5</v>
      </c>
    </row>
    <row r="14" spans="1:2" x14ac:dyDescent="0.3">
      <c r="A14" s="3" t="s">
        <v>31</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8277D-3B68-42A2-8EC3-C764A05F9DF4}">
  <dimension ref="A3:B8"/>
  <sheetViews>
    <sheetView workbookViewId="0">
      <selection activeCell="M7" sqref="M7"/>
    </sheetView>
  </sheetViews>
  <sheetFormatPr defaultRowHeight="14.4" x14ac:dyDescent="0.3"/>
  <cols>
    <col min="1" max="1" width="12.5546875" bestFit="1" customWidth="1"/>
    <col min="2" max="2" width="31.77734375" bestFit="1" customWidth="1"/>
  </cols>
  <sheetData>
    <row r="3" spans="1:2" x14ac:dyDescent="0.3">
      <c r="A3" s="2" t="s">
        <v>30</v>
      </c>
      <c r="B3" t="s">
        <v>35</v>
      </c>
    </row>
    <row r="4" spans="1:2" x14ac:dyDescent="0.3">
      <c r="A4" s="3" t="s">
        <v>9</v>
      </c>
      <c r="B4" s="4">
        <v>140.87387695413258</v>
      </c>
    </row>
    <row r="5" spans="1:2" x14ac:dyDescent="0.3">
      <c r="A5" s="3" t="s">
        <v>22</v>
      </c>
      <c r="B5" s="4">
        <v>108.36824651666703</v>
      </c>
    </row>
    <row r="6" spans="1:2" x14ac:dyDescent="0.3">
      <c r="A6" s="3" t="s">
        <v>13</v>
      </c>
      <c r="B6" s="4">
        <v>180.44103348778611</v>
      </c>
    </row>
    <row r="7" spans="1:2" x14ac:dyDescent="0.3">
      <c r="A7" s="3" t="s">
        <v>16</v>
      </c>
      <c r="B7" s="4">
        <v>108.97659894637714</v>
      </c>
    </row>
    <row r="8" spans="1:2" x14ac:dyDescent="0.3">
      <c r="A8" s="3" t="s">
        <v>31</v>
      </c>
      <c r="B8" s="4">
        <v>132.39235089555015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51D3-1AB9-4F8C-A5AF-8938B11BE3A6}">
  <dimension ref="A3:B8"/>
  <sheetViews>
    <sheetView workbookViewId="0">
      <selection activeCell="F6" sqref="F6"/>
    </sheetView>
  </sheetViews>
  <sheetFormatPr defaultRowHeight="14.4" x14ac:dyDescent="0.3"/>
  <cols>
    <col min="1" max="1" width="12.5546875" bestFit="1" customWidth="1"/>
    <col min="2" max="2" width="20.109375" bestFit="1" customWidth="1"/>
  </cols>
  <sheetData>
    <row r="3" spans="1:2" x14ac:dyDescent="0.3">
      <c r="A3" s="2" t="s">
        <v>30</v>
      </c>
      <c r="B3" t="s">
        <v>36</v>
      </c>
    </row>
    <row r="4" spans="1:2" x14ac:dyDescent="0.3">
      <c r="A4" s="3" t="s">
        <v>26</v>
      </c>
      <c r="B4">
        <v>4883</v>
      </c>
    </row>
    <row r="5" spans="1:2" x14ac:dyDescent="0.3">
      <c r="A5" s="3" t="s">
        <v>14</v>
      </c>
      <c r="B5">
        <v>8037</v>
      </c>
    </row>
    <row r="6" spans="1:2" x14ac:dyDescent="0.3">
      <c r="A6" s="3" t="s">
        <v>7</v>
      </c>
      <c r="B6">
        <v>5284</v>
      </c>
    </row>
    <row r="7" spans="1:2" x14ac:dyDescent="0.3">
      <c r="A7" s="3" t="s">
        <v>11</v>
      </c>
      <c r="B7">
        <v>16523</v>
      </c>
    </row>
    <row r="8" spans="1:2" x14ac:dyDescent="0.3">
      <c r="A8" s="3" t="s">
        <v>31</v>
      </c>
      <c r="B8">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65B0-9CAA-466E-AE13-3C707E038947}">
  <dimension ref="A3:B12"/>
  <sheetViews>
    <sheetView workbookViewId="0">
      <selection activeCell="J2" sqref="J2"/>
    </sheetView>
  </sheetViews>
  <sheetFormatPr defaultRowHeight="14.4" x14ac:dyDescent="0.3"/>
  <cols>
    <col min="1" max="1" width="12.5546875" bestFit="1" customWidth="1"/>
    <col min="2" max="2" width="20.109375" bestFit="1" customWidth="1"/>
  </cols>
  <sheetData>
    <row r="3" spans="1:2" x14ac:dyDescent="0.3">
      <c r="A3" s="2" t="s">
        <v>30</v>
      </c>
      <c r="B3" t="s">
        <v>36</v>
      </c>
    </row>
    <row r="4" spans="1:2" x14ac:dyDescent="0.3">
      <c r="A4" s="3">
        <v>25</v>
      </c>
      <c r="B4" s="5">
        <v>5568</v>
      </c>
    </row>
    <row r="5" spans="1:2" x14ac:dyDescent="0.3">
      <c r="A5" s="3">
        <v>26</v>
      </c>
      <c r="B5" s="5">
        <v>6157</v>
      </c>
    </row>
    <row r="6" spans="1:2" x14ac:dyDescent="0.3">
      <c r="A6" s="3">
        <v>28</v>
      </c>
      <c r="B6" s="5">
        <v>3806</v>
      </c>
    </row>
    <row r="7" spans="1:2" x14ac:dyDescent="0.3">
      <c r="A7" s="3">
        <v>36</v>
      </c>
      <c r="B7" s="5">
        <v>1485</v>
      </c>
    </row>
    <row r="8" spans="1:2" x14ac:dyDescent="0.3">
      <c r="A8" s="3">
        <v>42</v>
      </c>
      <c r="B8" s="5">
        <v>10562</v>
      </c>
    </row>
    <row r="9" spans="1:2" x14ac:dyDescent="0.3">
      <c r="A9" s="3">
        <v>49</v>
      </c>
      <c r="B9" s="5">
        <v>1534</v>
      </c>
    </row>
    <row r="10" spans="1:2" x14ac:dyDescent="0.3">
      <c r="A10" s="3">
        <v>52</v>
      </c>
      <c r="B10" s="5">
        <v>2049</v>
      </c>
    </row>
    <row r="11" spans="1:2" x14ac:dyDescent="0.3">
      <c r="A11" s="3">
        <v>57</v>
      </c>
      <c r="B11" s="5">
        <v>3566</v>
      </c>
    </row>
    <row r="12" spans="1:2" x14ac:dyDescent="0.3">
      <c r="A12" s="3" t="s">
        <v>31</v>
      </c>
      <c r="B12" s="5">
        <v>34727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B62D-3AE6-44CD-AA4F-D52889785149}">
  <dimension ref="A1:X49"/>
  <sheetViews>
    <sheetView showGridLines="0" tabSelected="1" zoomScale="79" workbookViewId="0">
      <selection activeCell="X24" sqref="X24"/>
    </sheetView>
  </sheetViews>
  <sheetFormatPr defaultRowHeight="14.4" x14ac:dyDescent="0.3"/>
  <sheetData>
    <row r="1" spans="1:23" x14ac:dyDescent="0.3">
      <c r="A1" s="9" t="s">
        <v>37</v>
      </c>
      <c r="B1" s="9"/>
      <c r="C1" s="9"/>
      <c r="D1" s="9"/>
      <c r="E1" s="9"/>
      <c r="F1" s="9"/>
      <c r="G1" s="9"/>
      <c r="H1" s="9"/>
      <c r="I1" s="9"/>
      <c r="J1" s="9"/>
      <c r="K1" s="9"/>
      <c r="L1" s="9"/>
      <c r="M1" s="9"/>
      <c r="N1" s="9"/>
      <c r="O1" s="9"/>
      <c r="P1" s="9"/>
      <c r="Q1" s="9"/>
      <c r="R1" s="9"/>
      <c r="S1" s="9"/>
      <c r="T1" s="9"/>
      <c r="U1" s="9"/>
      <c r="V1" s="9"/>
      <c r="W1" s="9"/>
    </row>
    <row r="2" spans="1:23" x14ac:dyDescent="0.3">
      <c r="A2" s="9"/>
      <c r="B2" s="9"/>
      <c r="C2" s="9"/>
      <c r="D2" s="9"/>
      <c r="E2" s="9"/>
      <c r="F2" s="9"/>
      <c r="G2" s="9"/>
      <c r="H2" s="9"/>
      <c r="I2" s="9"/>
      <c r="J2" s="9"/>
      <c r="K2" s="9"/>
      <c r="L2" s="9"/>
      <c r="M2" s="9"/>
      <c r="N2" s="9"/>
      <c r="O2" s="9"/>
      <c r="P2" s="9"/>
      <c r="Q2" s="9"/>
      <c r="R2" s="9"/>
      <c r="S2" s="9"/>
      <c r="T2" s="9"/>
      <c r="U2" s="9"/>
      <c r="V2" s="9"/>
      <c r="W2" s="9"/>
    </row>
    <row r="3" spans="1:23" x14ac:dyDescent="0.3">
      <c r="A3" s="9"/>
      <c r="B3" s="9"/>
      <c r="C3" s="9"/>
      <c r="D3" s="9"/>
      <c r="E3" s="9"/>
      <c r="F3" s="9"/>
      <c r="G3" s="9"/>
      <c r="H3" s="9"/>
      <c r="I3" s="9"/>
      <c r="J3" s="9"/>
      <c r="K3" s="9"/>
      <c r="L3" s="9"/>
      <c r="M3" s="9"/>
      <c r="N3" s="9"/>
      <c r="O3" s="9"/>
      <c r="P3" s="9"/>
      <c r="Q3" s="9"/>
      <c r="R3" s="9"/>
      <c r="S3" s="9"/>
      <c r="T3" s="9"/>
      <c r="U3" s="9"/>
      <c r="V3" s="9"/>
      <c r="W3" s="9"/>
    </row>
    <row r="4" spans="1:23" x14ac:dyDescent="0.3">
      <c r="A4" s="9"/>
      <c r="B4" s="9"/>
      <c r="C4" s="9"/>
      <c r="D4" s="9"/>
      <c r="E4" s="9"/>
      <c r="F4" s="9"/>
      <c r="G4" s="9"/>
      <c r="H4" s="9"/>
      <c r="I4" s="9"/>
      <c r="J4" s="9"/>
      <c r="K4" s="9"/>
      <c r="L4" s="9"/>
      <c r="M4" s="9"/>
      <c r="N4" s="9"/>
      <c r="O4" s="9"/>
      <c r="P4" s="9"/>
      <c r="Q4" s="9"/>
      <c r="R4" s="9"/>
      <c r="S4" s="9"/>
      <c r="T4" s="9"/>
      <c r="U4" s="9"/>
      <c r="V4" s="9"/>
      <c r="W4" s="9"/>
    </row>
    <row r="5" spans="1:23" x14ac:dyDescent="0.3">
      <c r="A5" s="10"/>
      <c r="B5" s="8"/>
      <c r="C5" s="8"/>
      <c r="D5" s="8"/>
      <c r="E5" s="8"/>
      <c r="F5" s="8"/>
      <c r="G5" s="8"/>
      <c r="H5" s="8"/>
      <c r="I5" s="8"/>
      <c r="J5" s="8"/>
      <c r="K5" s="8"/>
      <c r="L5" s="8"/>
      <c r="M5" s="8"/>
      <c r="N5" s="8"/>
      <c r="O5" s="8"/>
      <c r="P5" s="8"/>
      <c r="Q5" s="8"/>
      <c r="R5" s="8"/>
      <c r="S5" s="8"/>
      <c r="T5" s="8"/>
      <c r="U5" s="8"/>
      <c r="V5" s="8"/>
      <c r="W5" s="10"/>
    </row>
    <row r="6" spans="1:23" x14ac:dyDescent="0.3">
      <c r="A6" s="10"/>
      <c r="B6" s="8"/>
      <c r="C6" s="8"/>
      <c r="D6" s="8"/>
      <c r="E6" s="8"/>
      <c r="F6" s="8"/>
      <c r="G6" s="8"/>
      <c r="H6" s="8"/>
      <c r="I6" s="8"/>
      <c r="J6" s="8"/>
      <c r="K6" s="8"/>
      <c r="L6" s="8"/>
      <c r="M6" s="8"/>
      <c r="N6" s="8"/>
      <c r="O6" s="8"/>
      <c r="P6" s="8"/>
      <c r="Q6" s="8"/>
      <c r="R6" s="8"/>
      <c r="S6" s="8"/>
      <c r="T6" s="8"/>
      <c r="U6" s="8"/>
      <c r="V6" s="8"/>
      <c r="W6" s="10"/>
    </row>
    <row r="7" spans="1:23" x14ac:dyDescent="0.3">
      <c r="A7" s="10"/>
      <c r="B7" s="8"/>
      <c r="C7" s="8"/>
      <c r="D7" s="8"/>
      <c r="E7" s="8"/>
      <c r="F7" s="8"/>
      <c r="G7" s="8"/>
      <c r="H7" s="8"/>
      <c r="I7" s="8"/>
      <c r="J7" s="8"/>
      <c r="K7" s="8"/>
      <c r="L7" s="8"/>
      <c r="M7" s="8"/>
      <c r="N7" s="8"/>
      <c r="O7" s="8"/>
      <c r="P7" s="8"/>
      <c r="Q7" s="8"/>
      <c r="R7" s="8"/>
      <c r="S7" s="8"/>
      <c r="T7" s="8"/>
      <c r="U7" s="8"/>
      <c r="V7" s="8"/>
      <c r="W7" s="10"/>
    </row>
    <row r="8" spans="1:23" x14ac:dyDescent="0.3">
      <c r="A8" s="10"/>
      <c r="B8" s="8"/>
      <c r="C8" s="8"/>
      <c r="D8" s="8"/>
      <c r="E8" s="8"/>
      <c r="F8" s="8"/>
      <c r="G8" s="8"/>
      <c r="H8" s="8"/>
      <c r="I8" s="8"/>
      <c r="J8" s="8"/>
      <c r="K8" s="8"/>
      <c r="L8" s="8"/>
      <c r="M8" s="8"/>
      <c r="N8" s="8"/>
      <c r="O8" s="8"/>
      <c r="P8" s="8"/>
      <c r="Q8" s="8"/>
      <c r="R8" s="8"/>
      <c r="S8" s="8"/>
      <c r="T8" s="8"/>
      <c r="U8" s="8"/>
      <c r="V8" s="8"/>
      <c r="W8" s="10"/>
    </row>
    <row r="9" spans="1:23" x14ac:dyDescent="0.3">
      <c r="A9" s="10"/>
      <c r="B9" s="8"/>
      <c r="C9" s="8"/>
      <c r="D9" s="8"/>
      <c r="E9" s="8"/>
      <c r="F9" s="8"/>
      <c r="G9" s="8"/>
      <c r="H9" s="8"/>
      <c r="I9" s="8"/>
      <c r="J9" s="8"/>
      <c r="K9" s="8"/>
      <c r="L9" s="8"/>
      <c r="M9" s="8"/>
      <c r="N9" s="8"/>
      <c r="O9" s="8"/>
      <c r="P9" s="8"/>
      <c r="Q9" s="8"/>
      <c r="R9" s="8"/>
      <c r="S9" s="8"/>
      <c r="T9" s="8"/>
      <c r="U9" s="8"/>
      <c r="V9" s="8"/>
      <c r="W9" s="10"/>
    </row>
    <row r="10" spans="1:23" x14ac:dyDescent="0.3">
      <c r="A10" s="10"/>
      <c r="B10" s="8"/>
      <c r="C10" s="8"/>
      <c r="D10" s="8"/>
      <c r="E10" s="8"/>
      <c r="F10" s="8"/>
      <c r="G10" s="8"/>
      <c r="H10" s="8"/>
      <c r="I10" s="8"/>
      <c r="J10" s="8"/>
      <c r="K10" s="8"/>
      <c r="L10" s="8"/>
      <c r="M10" s="8"/>
      <c r="N10" s="8"/>
      <c r="O10" s="8"/>
      <c r="P10" s="8"/>
      <c r="Q10" s="8"/>
      <c r="R10" s="8"/>
      <c r="S10" s="8"/>
      <c r="T10" s="8"/>
      <c r="U10" s="8"/>
      <c r="V10" s="8"/>
      <c r="W10" s="10"/>
    </row>
    <row r="11" spans="1:23" x14ac:dyDescent="0.3">
      <c r="A11" s="10"/>
      <c r="B11" s="8"/>
      <c r="C11" s="8"/>
      <c r="D11" s="8"/>
      <c r="E11" s="8"/>
      <c r="F11" s="8"/>
      <c r="G11" s="8"/>
      <c r="H11" s="8"/>
      <c r="I11" s="8"/>
      <c r="J11" s="8"/>
      <c r="K11" s="8"/>
      <c r="L11" s="8"/>
      <c r="M11" s="8"/>
      <c r="N11" s="8"/>
      <c r="O11" s="8"/>
      <c r="P11" s="8"/>
      <c r="Q11" s="8"/>
      <c r="R11" s="8"/>
      <c r="S11" s="8"/>
      <c r="T11" s="8"/>
      <c r="U11" s="8"/>
      <c r="V11" s="8"/>
      <c r="W11" s="10"/>
    </row>
    <row r="12" spans="1:23" x14ac:dyDescent="0.3">
      <c r="A12" s="10"/>
      <c r="B12" s="8"/>
      <c r="C12" s="8"/>
      <c r="D12" s="8"/>
      <c r="E12" s="8"/>
      <c r="F12" s="8"/>
      <c r="G12" s="8"/>
      <c r="H12" s="8"/>
      <c r="I12" s="8"/>
      <c r="J12" s="8"/>
      <c r="K12" s="8"/>
      <c r="L12" s="8"/>
      <c r="M12" s="8"/>
      <c r="N12" s="8"/>
      <c r="O12" s="8"/>
      <c r="P12" s="8"/>
      <c r="Q12" s="8"/>
      <c r="R12" s="8"/>
      <c r="S12" s="8"/>
      <c r="T12" s="8"/>
      <c r="U12" s="8"/>
      <c r="V12" s="8"/>
      <c r="W12" s="10"/>
    </row>
    <row r="13" spans="1:23" x14ac:dyDescent="0.3">
      <c r="A13" s="10"/>
      <c r="B13" s="8"/>
      <c r="C13" s="8"/>
      <c r="D13" s="8"/>
      <c r="E13" s="8"/>
      <c r="F13" s="8"/>
      <c r="G13" s="8"/>
      <c r="H13" s="8"/>
      <c r="I13" s="8"/>
      <c r="J13" s="8"/>
      <c r="K13" s="8"/>
      <c r="L13" s="8"/>
      <c r="M13" s="8"/>
      <c r="N13" s="8"/>
      <c r="O13" s="8"/>
      <c r="P13" s="8"/>
      <c r="Q13" s="8"/>
      <c r="R13" s="8"/>
      <c r="S13" s="8"/>
      <c r="T13" s="8"/>
      <c r="U13" s="8"/>
      <c r="V13" s="8"/>
      <c r="W13" s="10"/>
    </row>
    <row r="14" spans="1:23" x14ac:dyDescent="0.3">
      <c r="A14" s="10"/>
      <c r="W14" s="10"/>
    </row>
    <row r="15" spans="1:23" x14ac:dyDescent="0.3">
      <c r="A15" s="10"/>
      <c r="W15" s="10"/>
    </row>
    <row r="16" spans="1:23" x14ac:dyDescent="0.3">
      <c r="A16" s="10"/>
      <c r="W16" s="10"/>
    </row>
    <row r="17" spans="1:23" x14ac:dyDescent="0.3">
      <c r="A17" s="10"/>
      <c r="W17" s="10"/>
    </row>
    <row r="18" spans="1:23" x14ac:dyDescent="0.3">
      <c r="A18" s="10"/>
      <c r="W18" s="10"/>
    </row>
    <row r="19" spans="1:23" x14ac:dyDescent="0.3">
      <c r="A19" s="10"/>
      <c r="W19" s="10"/>
    </row>
    <row r="20" spans="1:23" x14ac:dyDescent="0.3">
      <c r="A20" s="10"/>
      <c r="W20" s="10"/>
    </row>
    <row r="21" spans="1:23" x14ac:dyDescent="0.3">
      <c r="A21" s="10"/>
      <c r="W21" s="10"/>
    </row>
    <row r="22" spans="1:23" x14ac:dyDescent="0.3">
      <c r="A22" s="10"/>
      <c r="W22" s="10"/>
    </row>
    <row r="23" spans="1:23" x14ac:dyDescent="0.3">
      <c r="A23" s="10"/>
      <c r="W23" s="10"/>
    </row>
    <row r="24" spans="1:23" x14ac:dyDescent="0.3">
      <c r="A24" s="10"/>
      <c r="W24" s="10"/>
    </row>
    <row r="25" spans="1:23" x14ac:dyDescent="0.3">
      <c r="A25" s="10"/>
      <c r="W25" s="10"/>
    </row>
    <row r="26" spans="1:23" x14ac:dyDescent="0.3">
      <c r="A26" s="10"/>
      <c r="W26" s="10"/>
    </row>
    <row r="27" spans="1:23" x14ac:dyDescent="0.3">
      <c r="A27" s="10"/>
      <c r="W27" s="10"/>
    </row>
    <row r="28" spans="1:23" x14ac:dyDescent="0.3">
      <c r="A28" s="10"/>
      <c r="W28" s="10"/>
    </row>
    <row r="29" spans="1:23" x14ac:dyDescent="0.3">
      <c r="A29" s="10"/>
      <c r="W29" s="10"/>
    </row>
    <row r="30" spans="1:23" x14ac:dyDescent="0.3">
      <c r="A30" s="10"/>
      <c r="W30" s="10"/>
    </row>
    <row r="31" spans="1:23" x14ac:dyDescent="0.3">
      <c r="A31" s="10"/>
      <c r="W31" s="10"/>
    </row>
    <row r="32" spans="1:23" x14ac:dyDescent="0.3">
      <c r="A32" s="10"/>
      <c r="W32" s="10"/>
    </row>
    <row r="33" spans="1:24" x14ac:dyDescent="0.3">
      <c r="A33" s="6"/>
      <c r="W33" s="10"/>
    </row>
    <row r="34" spans="1:24" x14ac:dyDescent="0.3">
      <c r="A34" s="6"/>
      <c r="W34" s="10"/>
    </row>
    <row r="35" spans="1:24" x14ac:dyDescent="0.3">
      <c r="A35" s="6"/>
      <c r="W35" s="10"/>
    </row>
    <row r="36" spans="1:24" x14ac:dyDescent="0.3">
      <c r="A36" s="6"/>
      <c r="W36" s="6"/>
    </row>
    <row r="37" spans="1:24" x14ac:dyDescent="0.3">
      <c r="A37" s="6"/>
      <c r="W37" s="6"/>
    </row>
    <row r="38" spans="1:24" x14ac:dyDescent="0.3">
      <c r="A38" s="6"/>
      <c r="W38" s="6"/>
    </row>
    <row r="39" spans="1:24" x14ac:dyDescent="0.3">
      <c r="A39" s="6"/>
      <c r="W39" s="6"/>
    </row>
    <row r="40" spans="1:24" x14ac:dyDescent="0.3">
      <c r="A40" s="6"/>
      <c r="W40" s="6"/>
    </row>
    <row r="41" spans="1:24" x14ac:dyDescent="0.3">
      <c r="A41" s="6"/>
      <c r="W41" s="6"/>
    </row>
    <row r="42" spans="1:24" x14ac:dyDescent="0.3">
      <c r="A42" s="6"/>
      <c r="W42" s="6"/>
    </row>
    <row r="43" spans="1:24" x14ac:dyDescent="0.3">
      <c r="A43" s="6"/>
      <c r="W43" s="6"/>
    </row>
    <row r="44" spans="1:24" x14ac:dyDescent="0.3">
      <c r="A44" s="6"/>
      <c r="W44" s="6"/>
    </row>
    <row r="45" spans="1:24" x14ac:dyDescent="0.3">
      <c r="A45" s="6"/>
      <c r="W45" s="6"/>
    </row>
    <row r="46" spans="1:24" x14ac:dyDescent="0.3">
      <c r="A46" s="6"/>
      <c r="W46" s="6"/>
    </row>
    <row r="47" spans="1:24" x14ac:dyDescent="0.3">
      <c r="A47" s="6"/>
      <c r="B47" s="6"/>
      <c r="C47" s="6"/>
      <c r="D47" s="6"/>
      <c r="E47" s="6"/>
      <c r="F47" s="6"/>
      <c r="G47" s="6"/>
      <c r="H47" s="6"/>
      <c r="I47" s="6"/>
      <c r="J47" s="6"/>
      <c r="K47" s="6"/>
      <c r="L47" s="6"/>
      <c r="M47" s="6"/>
      <c r="N47" s="6"/>
      <c r="O47" s="6"/>
      <c r="P47" s="6"/>
      <c r="Q47" s="6"/>
      <c r="R47" s="6"/>
      <c r="S47" s="6"/>
      <c r="T47" s="6"/>
      <c r="U47" s="6"/>
      <c r="V47" s="6"/>
      <c r="W47" s="6"/>
      <c r="X47" s="7"/>
    </row>
    <row r="48" spans="1:24" x14ac:dyDescent="0.3">
      <c r="A48" s="6"/>
      <c r="B48" s="6"/>
      <c r="C48" s="6"/>
      <c r="D48" s="6"/>
      <c r="E48" s="6"/>
      <c r="F48" s="6"/>
      <c r="G48" s="6"/>
      <c r="H48" s="6"/>
      <c r="I48" s="6"/>
      <c r="J48" s="6"/>
      <c r="K48" s="6"/>
      <c r="L48" s="6"/>
      <c r="M48" s="6"/>
      <c r="N48" s="6"/>
      <c r="O48" s="6"/>
      <c r="P48" s="6"/>
      <c r="Q48" s="6"/>
      <c r="R48" s="6"/>
      <c r="S48" s="6"/>
      <c r="T48" s="6"/>
      <c r="U48" s="6"/>
      <c r="V48" s="6"/>
      <c r="W48" s="6"/>
      <c r="X48" s="7"/>
    </row>
    <row r="49" spans="1:24" x14ac:dyDescent="0.3">
      <c r="A49" s="6"/>
      <c r="B49" s="6"/>
      <c r="C49" s="6"/>
      <c r="D49" s="6"/>
      <c r="E49" s="6"/>
      <c r="F49" s="6"/>
      <c r="G49" s="6"/>
      <c r="H49" s="6"/>
      <c r="I49" s="6"/>
      <c r="J49" s="6"/>
      <c r="K49" s="6"/>
      <c r="L49" s="6"/>
      <c r="M49" s="6"/>
      <c r="N49" s="6"/>
      <c r="O49" s="6"/>
      <c r="P49" s="6"/>
      <c r="Q49" s="6"/>
      <c r="R49" s="6"/>
      <c r="S49" s="6"/>
      <c r="T49" s="6"/>
      <c r="U49" s="6"/>
      <c r="V49" s="6"/>
      <c r="W49" s="6"/>
      <c r="X49" s="7"/>
    </row>
  </sheetData>
  <mergeCells count="3">
    <mergeCell ref="A1:W4"/>
    <mergeCell ref="A5:A32"/>
    <mergeCell ref="W5:W3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A46" zoomScale="115" workbookViewId="0">
      <selection activeCell="D11" sqref="D1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5.21875" bestFit="1" customWidth="1"/>
    <col min="9" max="9" width="10.77734375" customWidth="1"/>
    <col min="11" max="11" width="20.21875" customWidth="1"/>
  </cols>
  <sheetData>
    <row r="1" spans="1:11" x14ac:dyDescent="0.3">
      <c r="A1" t="s">
        <v>0</v>
      </c>
      <c r="B1" t="s">
        <v>1</v>
      </c>
      <c r="C1" t="s">
        <v>2</v>
      </c>
      <c r="D1" t="s">
        <v>3</v>
      </c>
      <c r="E1" t="s">
        <v>4</v>
      </c>
      <c r="F1" t="s">
        <v>5</v>
      </c>
      <c r="G1" t="s">
        <v>6</v>
      </c>
      <c r="H1" t="s">
        <v>28</v>
      </c>
      <c r="I1" t="s">
        <v>29</v>
      </c>
      <c r="J1" t="s">
        <v>28</v>
      </c>
      <c r="K1" t="s">
        <v>33</v>
      </c>
    </row>
    <row r="2" spans="1:11" x14ac:dyDescent="0.3">
      <c r="A2">
        <v>7</v>
      </c>
      <c r="B2" s="1">
        <v>45472</v>
      </c>
      <c r="C2" t="s">
        <v>11</v>
      </c>
      <c r="D2" t="s">
        <v>20</v>
      </c>
      <c r="E2" t="s">
        <v>16</v>
      </c>
      <c r="F2">
        <v>68</v>
      </c>
      <c r="G2">
        <v>11696</v>
      </c>
      <c r="H2">
        <v>28</v>
      </c>
      <c r="I2" t="s">
        <v>17</v>
      </c>
      <c r="J2" t="str">
        <f>IF(H2&gt;35,"A1",IF(H2&lt;45,"A2","A3"))</f>
        <v>A2</v>
      </c>
      <c r="K2" s="4">
        <f>G2/F2</f>
        <v>172</v>
      </c>
    </row>
    <row r="3" spans="1:11" x14ac:dyDescent="0.3">
      <c r="A3">
        <v>23</v>
      </c>
      <c r="B3" s="1">
        <v>45520</v>
      </c>
      <c r="C3" t="s">
        <v>14</v>
      </c>
      <c r="D3" t="s">
        <v>20</v>
      </c>
      <c r="E3" t="s">
        <v>9</v>
      </c>
      <c r="F3">
        <v>90</v>
      </c>
      <c r="G3">
        <v>42328</v>
      </c>
      <c r="H3">
        <v>28</v>
      </c>
      <c r="I3" t="s">
        <v>17</v>
      </c>
      <c r="J3" t="str">
        <f t="shared" ref="J3:J66" si="0">IF(H3&gt;35,"A1",IF(H3&lt;45,"A2","A3"))</f>
        <v>A2</v>
      </c>
      <c r="K3" s="4">
        <f t="shared" ref="K3:K66" si="1">G3/F3</f>
        <v>470.31111111111113</v>
      </c>
    </row>
    <row r="4" spans="1:11" x14ac:dyDescent="0.3">
      <c r="A4">
        <v>46</v>
      </c>
      <c r="B4" s="1">
        <v>45207</v>
      </c>
      <c r="C4" t="s">
        <v>11</v>
      </c>
      <c r="D4" t="s">
        <v>20</v>
      </c>
      <c r="E4" t="s">
        <v>9</v>
      </c>
      <c r="F4">
        <v>231</v>
      </c>
      <c r="G4">
        <v>32045</v>
      </c>
      <c r="H4">
        <v>28</v>
      </c>
      <c r="I4" t="s">
        <v>17</v>
      </c>
      <c r="J4" t="str">
        <f t="shared" si="0"/>
        <v>A2</v>
      </c>
      <c r="K4" s="4">
        <f t="shared" si="1"/>
        <v>138.72294372294371</v>
      </c>
    </row>
    <row r="5" spans="1:11" x14ac:dyDescent="0.3">
      <c r="A5">
        <v>66</v>
      </c>
      <c r="B5" s="1">
        <v>45390</v>
      </c>
      <c r="C5" t="s">
        <v>11</v>
      </c>
      <c r="D5" t="s">
        <v>20</v>
      </c>
      <c r="E5" t="s">
        <v>22</v>
      </c>
      <c r="F5">
        <v>190</v>
      </c>
      <c r="G5">
        <v>28050</v>
      </c>
      <c r="H5">
        <v>28</v>
      </c>
      <c r="I5" t="s">
        <v>17</v>
      </c>
      <c r="J5" t="str">
        <f t="shared" si="0"/>
        <v>A2</v>
      </c>
      <c r="K5" s="4">
        <f t="shared" si="1"/>
        <v>147.63157894736841</v>
      </c>
    </row>
    <row r="6" spans="1:11" x14ac:dyDescent="0.3">
      <c r="A6">
        <v>84</v>
      </c>
      <c r="B6" s="1">
        <v>45369</v>
      </c>
      <c r="C6" t="s">
        <v>11</v>
      </c>
      <c r="D6" t="s">
        <v>20</v>
      </c>
      <c r="E6" t="s">
        <v>22</v>
      </c>
      <c r="F6">
        <v>84</v>
      </c>
      <c r="G6">
        <v>10688</v>
      </c>
      <c r="H6">
        <v>28</v>
      </c>
      <c r="I6" t="s">
        <v>17</v>
      </c>
      <c r="J6" t="str">
        <f t="shared" si="0"/>
        <v>A2</v>
      </c>
      <c r="K6" s="4">
        <f t="shared" si="1"/>
        <v>127.23809523809524</v>
      </c>
    </row>
    <row r="7" spans="1:11" x14ac:dyDescent="0.3">
      <c r="A7">
        <v>86</v>
      </c>
      <c r="B7" s="1">
        <v>45307</v>
      </c>
      <c r="C7" t="s">
        <v>7</v>
      </c>
      <c r="D7" t="s">
        <v>20</v>
      </c>
      <c r="E7" t="s">
        <v>9</v>
      </c>
      <c r="F7">
        <v>60</v>
      </c>
      <c r="G7">
        <v>5822</v>
      </c>
      <c r="H7">
        <v>28</v>
      </c>
      <c r="I7" t="s">
        <v>17</v>
      </c>
      <c r="J7" t="str">
        <f t="shared" si="0"/>
        <v>A2</v>
      </c>
      <c r="K7" s="4">
        <f t="shared" si="1"/>
        <v>97.033333333333331</v>
      </c>
    </row>
    <row r="8" spans="1:11" x14ac:dyDescent="0.3">
      <c r="A8">
        <v>88</v>
      </c>
      <c r="B8" s="1">
        <v>45305</v>
      </c>
      <c r="C8" t="s">
        <v>14</v>
      </c>
      <c r="D8" t="s">
        <v>20</v>
      </c>
      <c r="E8" t="s">
        <v>13</v>
      </c>
      <c r="F8">
        <v>264</v>
      </c>
      <c r="G8">
        <v>75332</v>
      </c>
      <c r="H8">
        <v>28</v>
      </c>
      <c r="I8" t="s">
        <v>17</v>
      </c>
      <c r="J8" t="str">
        <f t="shared" si="0"/>
        <v>A2</v>
      </c>
      <c r="K8" s="4">
        <f t="shared" si="1"/>
        <v>285.34848484848487</v>
      </c>
    </row>
    <row r="9" spans="1:11" x14ac:dyDescent="0.3">
      <c r="A9">
        <v>96</v>
      </c>
      <c r="B9" s="1">
        <v>45347</v>
      </c>
      <c r="C9" t="s">
        <v>14</v>
      </c>
      <c r="D9" t="s">
        <v>20</v>
      </c>
      <c r="E9" t="s">
        <v>9</v>
      </c>
      <c r="F9">
        <v>128</v>
      </c>
      <c r="G9">
        <v>35088</v>
      </c>
      <c r="H9">
        <v>28</v>
      </c>
      <c r="I9" t="s">
        <v>17</v>
      </c>
      <c r="J9" t="str">
        <f t="shared" si="0"/>
        <v>A2</v>
      </c>
      <c r="K9" s="4">
        <f t="shared" si="1"/>
        <v>274.125</v>
      </c>
    </row>
    <row r="10" spans="1:11" x14ac:dyDescent="0.3">
      <c r="A10">
        <v>107</v>
      </c>
      <c r="B10" s="1">
        <v>45412</v>
      </c>
      <c r="C10" t="s">
        <v>26</v>
      </c>
      <c r="D10" t="s">
        <v>20</v>
      </c>
      <c r="E10" t="s">
        <v>16</v>
      </c>
      <c r="F10">
        <v>236</v>
      </c>
      <c r="G10">
        <v>679</v>
      </c>
      <c r="H10">
        <v>28</v>
      </c>
      <c r="I10" t="s">
        <v>17</v>
      </c>
      <c r="J10" t="str">
        <f t="shared" si="0"/>
        <v>A2</v>
      </c>
      <c r="K10" s="4">
        <f t="shared" si="1"/>
        <v>2.8771186440677967</v>
      </c>
    </row>
    <row r="11" spans="1:11" x14ac:dyDescent="0.3">
      <c r="A11">
        <v>116</v>
      </c>
      <c r="B11" s="1">
        <v>45240</v>
      </c>
      <c r="C11" t="s">
        <v>14</v>
      </c>
      <c r="D11" t="s">
        <v>20</v>
      </c>
      <c r="E11" t="s">
        <v>13</v>
      </c>
      <c r="F11">
        <v>666</v>
      </c>
      <c r="G11">
        <v>64635</v>
      </c>
      <c r="H11">
        <v>28</v>
      </c>
      <c r="I11" t="s">
        <v>17</v>
      </c>
      <c r="J11" t="str">
        <f t="shared" si="0"/>
        <v>A2</v>
      </c>
      <c r="K11" s="4">
        <f t="shared" si="1"/>
        <v>97.049549549549553</v>
      </c>
    </row>
    <row r="12" spans="1:11" x14ac:dyDescent="0.3">
      <c r="A12">
        <v>18</v>
      </c>
      <c r="B12" s="1">
        <v>45381</v>
      </c>
      <c r="C12" t="s">
        <v>11</v>
      </c>
      <c r="D12" t="s">
        <v>25</v>
      </c>
      <c r="E12" t="s">
        <v>9</v>
      </c>
      <c r="F12">
        <v>363</v>
      </c>
      <c r="G12">
        <v>38232</v>
      </c>
      <c r="H12">
        <v>49</v>
      </c>
      <c r="I12" t="s">
        <v>10</v>
      </c>
      <c r="J12" t="str">
        <f t="shared" si="0"/>
        <v>A1</v>
      </c>
      <c r="K12" s="4">
        <f t="shared" si="1"/>
        <v>105.32231404958678</v>
      </c>
    </row>
    <row r="13" spans="1:11" x14ac:dyDescent="0.3">
      <c r="A13">
        <v>19</v>
      </c>
      <c r="B13" s="1">
        <v>45469</v>
      </c>
      <c r="C13" t="s">
        <v>11</v>
      </c>
      <c r="D13" t="s">
        <v>25</v>
      </c>
      <c r="E13" t="s">
        <v>9</v>
      </c>
      <c r="F13">
        <v>443</v>
      </c>
      <c r="G13">
        <v>50652</v>
      </c>
      <c r="H13">
        <v>49</v>
      </c>
      <c r="I13" t="s">
        <v>10</v>
      </c>
      <c r="J13" t="str">
        <f t="shared" si="0"/>
        <v>A1</v>
      </c>
      <c r="K13" s="4">
        <f t="shared" si="1"/>
        <v>114.33860045146727</v>
      </c>
    </row>
    <row r="14" spans="1:11" x14ac:dyDescent="0.3">
      <c r="A14">
        <v>22</v>
      </c>
      <c r="B14" s="1">
        <v>45294</v>
      </c>
      <c r="C14" t="s">
        <v>11</v>
      </c>
      <c r="D14" t="s">
        <v>25</v>
      </c>
      <c r="E14" t="s">
        <v>16</v>
      </c>
      <c r="F14">
        <v>180</v>
      </c>
      <c r="G14">
        <v>33684</v>
      </c>
      <c r="H14">
        <v>49</v>
      </c>
      <c r="I14" t="s">
        <v>10</v>
      </c>
      <c r="J14" t="str">
        <f t="shared" si="0"/>
        <v>A1</v>
      </c>
      <c r="K14" s="4">
        <f t="shared" si="1"/>
        <v>187.13333333333333</v>
      </c>
    </row>
    <row r="15" spans="1:11" x14ac:dyDescent="0.3">
      <c r="A15">
        <v>37</v>
      </c>
      <c r="B15" s="1">
        <v>45377</v>
      </c>
      <c r="C15" t="s">
        <v>14</v>
      </c>
      <c r="D15" t="s">
        <v>25</v>
      </c>
      <c r="E15" t="s">
        <v>9</v>
      </c>
      <c r="F15">
        <v>145</v>
      </c>
      <c r="G15">
        <v>43615</v>
      </c>
      <c r="H15">
        <v>49</v>
      </c>
      <c r="I15" t="s">
        <v>10</v>
      </c>
      <c r="J15" t="str">
        <f t="shared" si="0"/>
        <v>A1</v>
      </c>
      <c r="K15" s="4">
        <f t="shared" si="1"/>
        <v>300.79310344827587</v>
      </c>
    </row>
    <row r="16" spans="1:11" x14ac:dyDescent="0.3">
      <c r="A16">
        <v>68</v>
      </c>
      <c r="B16" s="1">
        <v>45350</v>
      </c>
      <c r="C16" t="s">
        <v>7</v>
      </c>
      <c r="D16" t="s">
        <v>25</v>
      </c>
      <c r="E16" t="s">
        <v>9</v>
      </c>
      <c r="F16">
        <v>308</v>
      </c>
      <c r="G16">
        <v>27956</v>
      </c>
      <c r="H16">
        <v>49</v>
      </c>
      <c r="I16" t="s">
        <v>10</v>
      </c>
      <c r="J16" t="str">
        <f t="shared" si="0"/>
        <v>A1</v>
      </c>
      <c r="K16" s="4">
        <f t="shared" si="1"/>
        <v>90.766233766233768</v>
      </c>
    </row>
    <row r="17" spans="1:11" x14ac:dyDescent="0.3">
      <c r="A17">
        <v>71</v>
      </c>
      <c r="B17" s="1">
        <v>45350</v>
      </c>
      <c r="C17" t="s">
        <v>14</v>
      </c>
      <c r="D17" t="s">
        <v>25</v>
      </c>
      <c r="E17" t="s">
        <v>13</v>
      </c>
      <c r="F17">
        <v>95</v>
      </c>
      <c r="G17">
        <v>46800</v>
      </c>
      <c r="H17">
        <v>49</v>
      </c>
      <c r="I17" t="s">
        <v>10</v>
      </c>
      <c r="J17" t="str">
        <f t="shared" si="0"/>
        <v>A1</v>
      </c>
      <c r="K17" s="4">
        <f t="shared" si="1"/>
        <v>492.63157894736844</v>
      </c>
    </row>
    <row r="18" spans="1:11" x14ac:dyDescent="0.3">
      <c r="A18">
        <v>8</v>
      </c>
      <c r="B18" s="1">
        <v>45299</v>
      </c>
      <c r="C18" t="s">
        <v>11</v>
      </c>
      <c r="D18" t="s">
        <v>21</v>
      </c>
      <c r="E18" t="s">
        <v>22</v>
      </c>
      <c r="F18">
        <v>447</v>
      </c>
      <c r="G18">
        <v>52269</v>
      </c>
      <c r="H18">
        <v>28</v>
      </c>
      <c r="I18" t="s">
        <v>17</v>
      </c>
      <c r="J18" t="str">
        <f t="shared" si="0"/>
        <v>A2</v>
      </c>
      <c r="K18" s="4">
        <f t="shared" si="1"/>
        <v>116.93288590604027</v>
      </c>
    </row>
    <row r="19" spans="1:11" x14ac:dyDescent="0.3">
      <c r="A19">
        <v>34</v>
      </c>
      <c r="B19" s="1">
        <v>45251</v>
      </c>
      <c r="C19" t="s">
        <v>11</v>
      </c>
      <c r="D19" t="s">
        <v>21</v>
      </c>
      <c r="E19" t="s">
        <v>16</v>
      </c>
      <c r="F19">
        <v>333</v>
      </c>
      <c r="G19">
        <v>48000</v>
      </c>
      <c r="H19">
        <v>28</v>
      </c>
      <c r="I19" t="s">
        <v>17</v>
      </c>
      <c r="J19" t="str">
        <f t="shared" si="0"/>
        <v>A2</v>
      </c>
      <c r="K19" s="4">
        <f t="shared" si="1"/>
        <v>144.14414414414415</v>
      </c>
    </row>
    <row r="20" spans="1:11" x14ac:dyDescent="0.3">
      <c r="A20">
        <v>54</v>
      </c>
      <c r="B20" s="1">
        <v>45510</v>
      </c>
      <c r="C20" t="s">
        <v>11</v>
      </c>
      <c r="D20" t="s">
        <v>21</v>
      </c>
      <c r="E20" t="s">
        <v>9</v>
      </c>
      <c r="F20">
        <v>429</v>
      </c>
      <c r="G20">
        <v>58208</v>
      </c>
      <c r="H20">
        <v>28</v>
      </c>
      <c r="I20" t="s">
        <v>17</v>
      </c>
      <c r="J20" t="str">
        <f t="shared" si="0"/>
        <v>A2</v>
      </c>
      <c r="K20" s="4">
        <f t="shared" si="1"/>
        <v>135.68298368298369</v>
      </c>
    </row>
    <row r="21" spans="1:11" x14ac:dyDescent="0.3">
      <c r="A21">
        <v>75</v>
      </c>
      <c r="B21" s="1">
        <v>45357</v>
      </c>
      <c r="C21" t="s">
        <v>11</v>
      </c>
      <c r="D21" t="s">
        <v>21</v>
      </c>
      <c r="E21" t="s">
        <v>9</v>
      </c>
      <c r="F21">
        <v>128</v>
      </c>
      <c r="G21">
        <v>679</v>
      </c>
      <c r="H21">
        <v>28</v>
      </c>
      <c r="I21" t="s">
        <v>17</v>
      </c>
      <c r="J21" t="str">
        <f t="shared" si="0"/>
        <v>A2</v>
      </c>
      <c r="K21" s="4">
        <f t="shared" si="1"/>
        <v>5.3046875</v>
      </c>
    </row>
    <row r="22" spans="1:11" x14ac:dyDescent="0.3">
      <c r="A22">
        <v>93</v>
      </c>
      <c r="B22" s="1">
        <v>45277</v>
      </c>
      <c r="C22" t="s">
        <v>7</v>
      </c>
      <c r="D22" t="s">
        <v>21</v>
      </c>
      <c r="E22" t="s">
        <v>9</v>
      </c>
      <c r="F22">
        <v>366</v>
      </c>
      <c r="G22">
        <v>4131</v>
      </c>
      <c r="H22">
        <v>28</v>
      </c>
      <c r="I22" t="s">
        <v>17</v>
      </c>
      <c r="J22" t="str">
        <f t="shared" si="0"/>
        <v>A2</v>
      </c>
      <c r="K22" s="4">
        <f t="shared" si="1"/>
        <v>11.28688524590164</v>
      </c>
    </row>
    <row r="23" spans="1:11" x14ac:dyDescent="0.3">
      <c r="A23">
        <v>109</v>
      </c>
      <c r="B23" s="1">
        <v>45256</v>
      </c>
      <c r="C23" t="s">
        <v>26</v>
      </c>
      <c r="D23" t="s">
        <v>21</v>
      </c>
      <c r="E23" t="s">
        <v>9</v>
      </c>
      <c r="F23">
        <v>86</v>
      </c>
      <c r="G23">
        <v>25853</v>
      </c>
      <c r="H23">
        <v>28</v>
      </c>
      <c r="I23" t="s">
        <v>17</v>
      </c>
      <c r="J23" t="str">
        <f t="shared" si="0"/>
        <v>A2</v>
      </c>
      <c r="K23" s="4">
        <f t="shared" si="1"/>
        <v>300.61627906976742</v>
      </c>
    </row>
    <row r="24" spans="1:11" x14ac:dyDescent="0.3">
      <c r="A24">
        <v>11</v>
      </c>
      <c r="B24" s="1">
        <v>45335</v>
      </c>
      <c r="C24" t="s">
        <v>11</v>
      </c>
      <c r="D24" t="s">
        <v>24</v>
      </c>
      <c r="E24" t="s">
        <v>16</v>
      </c>
      <c r="F24">
        <v>494</v>
      </c>
      <c r="G24">
        <v>46767</v>
      </c>
      <c r="H24">
        <v>25</v>
      </c>
      <c r="I24" t="s">
        <v>10</v>
      </c>
      <c r="J24" t="str">
        <f t="shared" si="0"/>
        <v>A2</v>
      </c>
      <c r="K24" s="4">
        <f t="shared" si="1"/>
        <v>94.670040485829958</v>
      </c>
    </row>
    <row r="25" spans="1:11" x14ac:dyDescent="0.3">
      <c r="A25">
        <v>12</v>
      </c>
      <c r="B25" s="1">
        <v>45410</v>
      </c>
      <c r="C25" t="s">
        <v>11</v>
      </c>
      <c r="D25" t="s">
        <v>24</v>
      </c>
      <c r="E25" t="s">
        <v>9</v>
      </c>
      <c r="F25">
        <v>462</v>
      </c>
      <c r="G25">
        <v>26145</v>
      </c>
      <c r="H25">
        <v>25</v>
      </c>
      <c r="I25" t="s">
        <v>10</v>
      </c>
      <c r="J25" t="str">
        <f t="shared" si="0"/>
        <v>A2</v>
      </c>
      <c r="K25" s="4">
        <f t="shared" si="1"/>
        <v>56.590909090909093</v>
      </c>
    </row>
    <row r="26" spans="1:11" x14ac:dyDescent="0.3">
      <c r="A26">
        <v>30</v>
      </c>
      <c r="B26" s="1">
        <v>45200</v>
      </c>
      <c r="C26" t="s">
        <v>11</v>
      </c>
      <c r="D26" t="s">
        <v>24</v>
      </c>
      <c r="E26" t="s">
        <v>9</v>
      </c>
      <c r="F26">
        <v>290</v>
      </c>
      <c r="G26">
        <v>15132</v>
      </c>
      <c r="H26">
        <v>25</v>
      </c>
      <c r="I26" t="s">
        <v>10</v>
      </c>
      <c r="J26" t="str">
        <f t="shared" si="0"/>
        <v>A2</v>
      </c>
      <c r="K26" s="4">
        <f t="shared" si="1"/>
        <v>52.179310344827584</v>
      </c>
    </row>
    <row r="27" spans="1:11" x14ac:dyDescent="0.3">
      <c r="A27">
        <v>33</v>
      </c>
      <c r="B27" s="1">
        <v>45422</v>
      </c>
      <c r="C27" t="s">
        <v>26</v>
      </c>
      <c r="D27" t="s">
        <v>24</v>
      </c>
      <c r="E27" t="s">
        <v>22</v>
      </c>
      <c r="F27">
        <v>511</v>
      </c>
      <c r="G27">
        <v>679</v>
      </c>
      <c r="H27">
        <v>25</v>
      </c>
      <c r="I27" t="s">
        <v>10</v>
      </c>
      <c r="J27" t="str">
        <f t="shared" si="0"/>
        <v>A2</v>
      </c>
      <c r="K27" s="4">
        <f t="shared" si="1"/>
        <v>1.3287671232876712</v>
      </c>
    </row>
    <row r="28" spans="1:11" x14ac:dyDescent="0.3">
      <c r="A28">
        <v>94</v>
      </c>
      <c r="B28" s="1">
        <v>45427</v>
      </c>
      <c r="C28" t="s">
        <v>14</v>
      </c>
      <c r="D28" t="s">
        <v>24</v>
      </c>
      <c r="E28" t="s">
        <v>9</v>
      </c>
      <c r="F28">
        <v>173</v>
      </c>
      <c r="G28">
        <v>24549</v>
      </c>
      <c r="H28">
        <v>25</v>
      </c>
      <c r="I28" t="s">
        <v>10</v>
      </c>
      <c r="J28" t="str">
        <f t="shared" si="0"/>
        <v>A2</v>
      </c>
      <c r="K28" s="4">
        <f t="shared" si="1"/>
        <v>141.90173410404626</v>
      </c>
    </row>
    <row r="29" spans="1:11" x14ac:dyDescent="0.3">
      <c r="A29">
        <v>112</v>
      </c>
      <c r="B29" s="1">
        <v>45527</v>
      </c>
      <c r="C29" t="s">
        <v>26</v>
      </c>
      <c r="D29" t="s">
        <v>24</v>
      </c>
      <c r="E29" t="s">
        <v>9</v>
      </c>
      <c r="F29">
        <v>62</v>
      </c>
      <c r="G29">
        <v>31500</v>
      </c>
      <c r="H29">
        <v>25</v>
      </c>
      <c r="I29" t="s">
        <v>10</v>
      </c>
      <c r="J29" t="str">
        <f t="shared" si="0"/>
        <v>A2</v>
      </c>
      <c r="K29" s="4">
        <f t="shared" si="1"/>
        <v>508.06451612903226</v>
      </c>
    </row>
    <row r="30" spans="1:11" x14ac:dyDescent="0.3">
      <c r="A30">
        <v>5</v>
      </c>
      <c r="B30" s="1">
        <v>45449</v>
      </c>
      <c r="C30" t="s">
        <v>7</v>
      </c>
      <c r="D30" t="s">
        <v>19</v>
      </c>
      <c r="E30" t="s">
        <v>16</v>
      </c>
      <c r="F30">
        <v>178</v>
      </c>
      <c r="G30">
        <v>41349</v>
      </c>
      <c r="H30">
        <v>26</v>
      </c>
      <c r="I30" t="s">
        <v>17</v>
      </c>
      <c r="J30" t="str">
        <f t="shared" si="0"/>
        <v>A2</v>
      </c>
      <c r="K30" s="4">
        <f t="shared" si="1"/>
        <v>232.29775280898878</v>
      </c>
    </row>
    <row r="31" spans="1:11" x14ac:dyDescent="0.3">
      <c r="A31">
        <v>6</v>
      </c>
      <c r="B31" s="1">
        <v>45350</v>
      </c>
      <c r="C31" t="s">
        <v>11</v>
      </c>
      <c r="D31" t="s">
        <v>19</v>
      </c>
      <c r="E31" t="s">
        <v>16</v>
      </c>
      <c r="F31">
        <v>401</v>
      </c>
      <c r="G31">
        <v>19691</v>
      </c>
      <c r="H31">
        <v>26</v>
      </c>
      <c r="I31" t="s">
        <v>17</v>
      </c>
      <c r="J31" t="str">
        <f t="shared" si="0"/>
        <v>A2</v>
      </c>
      <c r="K31" s="4">
        <f t="shared" si="1"/>
        <v>49.104738154613464</v>
      </c>
    </row>
    <row r="32" spans="1:11" x14ac:dyDescent="0.3">
      <c r="A32">
        <v>14</v>
      </c>
      <c r="B32" s="1">
        <v>45465</v>
      </c>
      <c r="C32" t="s">
        <v>7</v>
      </c>
      <c r="D32" t="s">
        <v>19</v>
      </c>
      <c r="E32" t="s">
        <v>9</v>
      </c>
      <c r="F32">
        <v>332</v>
      </c>
      <c r="G32">
        <v>679</v>
      </c>
      <c r="H32">
        <v>26</v>
      </c>
      <c r="I32" t="s">
        <v>17</v>
      </c>
      <c r="J32" t="str">
        <f t="shared" si="0"/>
        <v>A2</v>
      </c>
      <c r="K32" s="4">
        <f t="shared" si="1"/>
        <v>2.0451807228915664</v>
      </c>
    </row>
    <row r="33" spans="1:11" x14ac:dyDescent="0.3">
      <c r="A33">
        <v>16</v>
      </c>
      <c r="B33" s="1">
        <v>45318</v>
      </c>
      <c r="C33" t="s">
        <v>14</v>
      </c>
      <c r="D33" t="s">
        <v>19</v>
      </c>
      <c r="E33" t="s">
        <v>13</v>
      </c>
      <c r="F33">
        <v>193</v>
      </c>
      <c r="G33">
        <v>18796</v>
      </c>
      <c r="H33">
        <v>26</v>
      </c>
      <c r="I33" t="s">
        <v>17</v>
      </c>
      <c r="J33" t="str">
        <f t="shared" si="0"/>
        <v>A2</v>
      </c>
      <c r="K33" s="4">
        <f t="shared" si="1"/>
        <v>97.388601036269435</v>
      </c>
    </row>
    <row r="34" spans="1:11" x14ac:dyDescent="0.3">
      <c r="A34">
        <v>25</v>
      </c>
      <c r="B34" s="1">
        <v>45235</v>
      </c>
      <c r="C34" t="s">
        <v>11</v>
      </c>
      <c r="D34" t="s">
        <v>19</v>
      </c>
      <c r="E34" t="s">
        <v>9</v>
      </c>
      <c r="F34">
        <v>439</v>
      </c>
      <c r="G34">
        <v>31392</v>
      </c>
      <c r="H34">
        <v>26</v>
      </c>
      <c r="I34" t="s">
        <v>17</v>
      </c>
      <c r="J34" t="str">
        <f t="shared" si="0"/>
        <v>A2</v>
      </c>
      <c r="K34" s="4">
        <f t="shared" si="1"/>
        <v>71.50797266514806</v>
      </c>
    </row>
    <row r="35" spans="1:11" x14ac:dyDescent="0.3">
      <c r="A35">
        <v>36</v>
      </c>
      <c r="B35" s="1">
        <v>45230</v>
      </c>
      <c r="C35" t="s">
        <v>11</v>
      </c>
      <c r="D35" t="s">
        <v>19</v>
      </c>
      <c r="E35" t="s">
        <v>16</v>
      </c>
      <c r="F35">
        <v>460</v>
      </c>
      <c r="G35">
        <v>50274</v>
      </c>
      <c r="H35">
        <v>26</v>
      </c>
      <c r="I35" t="s">
        <v>17</v>
      </c>
      <c r="J35" t="str">
        <f t="shared" si="0"/>
        <v>A2</v>
      </c>
      <c r="K35" s="4">
        <f t="shared" si="1"/>
        <v>109.29130434782608</v>
      </c>
    </row>
    <row r="36" spans="1:11" x14ac:dyDescent="0.3">
      <c r="A36">
        <v>48</v>
      </c>
      <c r="B36" s="1">
        <v>45191</v>
      </c>
      <c r="C36" t="s">
        <v>14</v>
      </c>
      <c r="D36" t="s">
        <v>19</v>
      </c>
      <c r="E36" t="s">
        <v>22</v>
      </c>
      <c r="F36">
        <v>214</v>
      </c>
      <c r="G36">
        <v>11954</v>
      </c>
      <c r="H36">
        <v>26</v>
      </c>
      <c r="I36" t="s">
        <v>17</v>
      </c>
      <c r="J36" t="str">
        <f t="shared" si="0"/>
        <v>A2</v>
      </c>
      <c r="K36" s="4">
        <f t="shared" si="1"/>
        <v>55.859813084112147</v>
      </c>
    </row>
    <row r="37" spans="1:11" x14ac:dyDescent="0.3">
      <c r="A37">
        <v>49</v>
      </c>
      <c r="B37" s="1">
        <v>45350</v>
      </c>
      <c r="C37" t="s">
        <v>7</v>
      </c>
      <c r="D37" t="s">
        <v>19</v>
      </c>
      <c r="E37" t="s">
        <v>16</v>
      </c>
      <c r="F37">
        <v>74</v>
      </c>
      <c r="G37">
        <v>36708</v>
      </c>
      <c r="H37">
        <v>26</v>
      </c>
      <c r="I37" t="s">
        <v>17</v>
      </c>
      <c r="J37" t="str">
        <f t="shared" si="0"/>
        <v>A2</v>
      </c>
      <c r="K37" s="4">
        <f t="shared" si="1"/>
        <v>496.05405405405406</v>
      </c>
    </row>
    <row r="38" spans="1:11" x14ac:dyDescent="0.3">
      <c r="A38">
        <v>67</v>
      </c>
      <c r="B38" s="1">
        <v>45249</v>
      </c>
      <c r="C38" t="s">
        <v>11</v>
      </c>
      <c r="D38" t="s">
        <v>19</v>
      </c>
      <c r="E38" t="s">
        <v>9</v>
      </c>
      <c r="F38">
        <v>511</v>
      </c>
      <c r="G38">
        <v>16698</v>
      </c>
      <c r="H38">
        <v>26</v>
      </c>
      <c r="I38" t="s">
        <v>17</v>
      </c>
      <c r="J38" t="str">
        <f t="shared" si="0"/>
        <v>A2</v>
      </c>
      <c r="K38" s="4">
        <f t="shared" si="1"/>
        <v>32.677103718199611</v>
      </c>
    </row>
    <row r="39" spans="1:11" x14ac:dyDescent="0.3">
      <c r="A39">
        <v>78</v>
      </c>
      <c r="B39" s="1">
        <v>45469</v>
      </c>
      <c r="C39" t="s">
        <v>7</v>
      </c>
      <c r="D39" t="s">
        <v>19</v>
      </c>
      <c r="E39" t="s">
        <v>9</v>
      </c>
      <c r="F39">
        <v>465</v>
      </c>
      <c r="G39">
        <v>679</v>
      </c>
      <c r="H39">
        <v>26</v>
      </c>
      <c r="I39" t="s">
        <v>17</v>
      </c>
      <c r="J39" t="str">
        <f t="shared" si="0"/>
        <v>A2</v>
      </c>
      <c r="K39" s="4">
        <f t="shared" si="1"/>
        <v>1.4602150537634409</v>
      </c>
    </row>
    <row r="40" spans="1:11" x14ac:dyDescent="0.3">
      <c r="A40">
        <v>83</v>
      </c>
      <c r="B40" s="1">
        <v>45254</v>
      </c>
      <c r="C40" t="s">
        <v>11</v>
      </c>
      <c r="D40" t="s">
        <v>19</v>
      </c>
      <c r="E40" t="s">
        <v>16</v>
      </c>
      <c r="F40">
        <v>545</v>
      </c>
      <c r="G40">
        <v>65250</v>
      </c>
      <c r="H40">
        <v>26</v>
      </c>
      <c r="I40" t="s">
        <v>17</v>
      </c>
      <c r="J40" t="str">
        <f t="shared" si="0"/>
        <v>A2</v>
      </c>
      <c r="K40" s="4">
        <f t="shared" si="1"/>
        <v>119.72477064220183</v>
      </c>
    </row>
    <row r="41" spans="1:11" x14ac:dyDescent="0.3">
      <c r="A41">
        <v>89</v>
      </c>
      <c r="B41" s="1">
        <v>45348</v>
      </c>
      <c r="C41" t="s">
        <v>11</v>
      </c>
      <c r="D41" t="s">
        <v>19</v>
      </c>
      <c r="E41" t="s">
        <v>22</v>
      </c>
      <c r="F41">
        <v>97</v>
      </c>
      <c r="G41">
        <v>679</v>
      </c>
      <c r="H41">
        <v>26</v>
      </c>
      <c r="I41" t="s">
        <v>17</v>
      </c>
      <c r="J41" t="str">
        <f t="shared" si="0"/>
        <v>A2</v>
      </c>
      <c r="K41" s="4">
        <f t="shared" si="1"/>
        <v>7</v>
      </c>
    </row>
    <row r="42" spans="1:11" x14ac:dyDescent="0.3">
      <c r="A42">
        <v>90</v>
      </c>
      <c r="B42" s="1">
        <v>45289</v>
      </c>
      <c r="C42" t="s">
        <v>11</v>
      </c>
      <c r="D42" t="s">
        <v>19</v>
      </c>
      <c r="E42" t="s">
        <v>13</v>
      </c>
      <c r="F42">
        <v>404</v>
      </c>
      <c r="G42">
        <v>13310</v>
      </c>
      <c r="H42">
        <v>26</v>
      </c>
      <c r="I42" t="s">
        <v>17</v>
      </c>
      <c r="J42" t="str">
        <f t="shared" si="0"/>
        <v>A2</v>
      </c>
      <c r="K42" s="4">
        <f t="shared" si="1"/>
        <v>32.945544554455445</v>
      </c>
    </row>
    <row r="43" spans="1:11" x14ac:dyDescent="0.3">
      <c r="A43">
        <v>102</v>
      </c>
      <c r="B43" s="1">
        <v>45497</v>
      </c>
      <c r="C43" t="s">
        <v>26</v>
      </c>
      <c r="D43" t="s">
        <v>19</v>
      </c>
      <c r="E43" t="s">
        <v>9</v>
      </c>
      <c r="F43">
        <v>376</v>
      </c>
      <c r="G43">
        <v>679</v>
      </c>
      <c r="H43">
        <v>26</v>
      </c>
      <c r="I43" t="s">
        <v>17</v>
      </c>
      <c r="J43" t="str">
        <f t="shared" si="0"/>
        <v>A2</v>
      </c>
      <c r="K43" s="4">
        <f t="shared" si="1"/>
        <v>1.8058510638297873</v>
      </c>
    </row>
    <row r="44" spans="1:11" x14ac:dyDescent="0.3">
      <c r="A44">
        <v>111</v>
      </c>
      <c r="B44" s="1">
        <v>45497</v>
      </c>
      <c r="C44" t="s">
        <v>14</v>
      </c>
      <c r="D44" t="s">
        <v>19</v>
      </c>
      <c r="E44" t="s">
        <v>22</v>
      </c>
      <c r="F44">
        <v>319</v>
      </c>
      <c r="G44">
        <v>4221</v>
      </c>
      <c r="H44">
        <v>26</v>
      </c>
      <c r="I44" t="s">
        <v>17</v>
      </c>
      <c r="J44" t="str">
        <f t="shared" si="0"/>
        <v>A2</v>
      </c>
      <c r="K44" s="4">
        <f t="shared" si="1"/>
        <v>13.231974921630094</v>
      </c>
    </row>
    <row r="45" spans="1:11" x14ac:dyDescent="0.3">
      <c r="A45">
        <v>113</v>
      </c>
      <c r="B45" s="1">
        <v>45370</v>
      </c>
      <c r="C45" t="s">
        <v>26</v>
      </c>
      <c r="D45" t="s">
        <v>19</v>
      </c>
      <c r="E45" t="s">
        <v>9</v>
      </c>
      <c r="F45">
        <v>81</v>
      </c>
      <c r="G45">
        <v>31414</v>
      </c>
      <c r="H45">
        <v>26</v>
      </c>
      <c r="I45" t="s">
        <v>17</v>
      </c>
      <c r="J45" t="str">
        <f t="shared" si="0"/>
        <v>A2</v>
      </c>
      <c r="K45" s="4">
        <f t="shared" si="1"/>
        <v>387.82716049382714</v>
      </c>
    </row>
    <row r="46" spans="1:11" x14ac:dyDescent="0.3">
      <c r="A46">
        <v>115</v>
      </c>
      <c r="B46" s="1">
        <v>45232</v>
      </c>
      <c r="C46" t="s">
        <v>11</v>
      </c>
      <c r="D46" t="s">
        <v>19</v>
      </c>
      <c r="E46" t="s">
        <v>9</v>
      </c>
      <c r="F46">
        <v>541</v>
      </c>
      <c r="G46">
        <v>42432</v>
      </c>
      <c r="H46">
        <v>26</v>
      </c>
      <c r="I46" t="s">
        <v>17</v>
      </c>
      <c r="J46" t="str">
        <f t="shared" si="0"/>
        <v>A2</v>
      </c>
      <c r="K46" s="4">
        <f t="shared" si="1"/>
        <v>78.432532347504619</v>
      </c>
    </row>
    <row r="47" spans="1:11" x14ac:dyDescent="0.3">
      <c r="A47">
        <v>117</v>
      </c>
      <c r="B47" s="1">
        <v>45374</v>
      </c>
      <c r="C47" t="s">
        <v>14</v>
      </c>
      <c r="D47" t="s">
        <v>19</v>
      </c>
      <c r="E47" t="s">
        <v>22</v>
      </c>
      <c r="F47">
        <v>527</v>
      </c>
      <c r="G47">
        <v>51168</v>
      </c>
      <c r="H47">
        <v>26</v>
      </c>
      <c r="I47" t="s">
        <v>17</v>
      </c>
      <c r="J47" t="str">
        <f t="shared" si="0"/>
        <v>A2</v>
      </c>
      <c r="K47" s="4">
        <f t="shared" si="1"/>
        <v>97.092979127134726</v>
      </c>
    </row>
    <row r="48" spans="1:11" x14ac:dyDescent="0.3">
      <c r="A48">
        <v>1</v>
      </c>
      <c r="B48" s="1">
        <v>45380</v>
      </c>
      <c r="C48" t="s">
        <v>7</v>
      </c>
      <c r="D48" t="s">
        <v>8</v>
      </c>
      <c r="E48" t="s">
        <v>9</v>
      </c>
      <c r="F48">
        <v>412</v>
      </c>
      <c r="G48">
        <v>22288</v>
      </c>
      <c r="H48">
        <v>25</v>
      </c>
      <c r="I48" t="s">
        <v>10</v>
      </c>
      <c r="J48" t="str">
        <f t="shared" si="0"/>
        <v>A2</v>
      </c>
      <c r="K48" s="4">
        <f t="shared" si="1"/>
        <v>54.097087378640779</v>
      </c>
    </row>
    <row r="49" spans="1:11" x14ac:dyDescent="0.3">
      <c r="A49">
        <v>13</v>
      </c>
      <c r="B49" s="1">
        <v>45472</v>
      </c>
      <c r="C49" t="s">
        <v>14</v>
      </c>
      <c r="D49" t="s">
        <v>8</v>
      </c>
      <c r="E49" t="s">
        <v>22</v>
      </c>
      <c r="F49">
        <v>435</v>
      </c>
      <c r="G49">
        <v>64090</v>
      </c>
      <c r="H49">
        <v>25</v>
      </c>
      <c r="I49" t="s">
        <v>10</v>
      </c>
      <c r="J49" t="str">
        <f t="shared" si="0"/>
        <v>A2</v>
      </c>
      <c r="K49" s="4">
        <f t="shared" si="1"/>
        <v>147.33333333333334</v>
      </c>
    </row>
    <row r="50" spans="1:11" x14ac:dyDescent="0.3">
      <c r="A50">
        <v>50</v>
      </c>
      <c r="B50" s="1">
        <v>45234</v>
      </c>
      <c r="C50" t="s">
        <v>14</v>
      </c>
      <c r="D50" t="s">
        <v>8</v>
      </c>
      <c r="E50" t="s">
        <v>13</v>
      </c>
      <c r="F50">
        <v>177</v>
      </c>
      <c r="G50">
        <v>30600</v>
      </c>
      <c r="H50">
        <v>25</v>
      </c>
      <c r="I50" t="s">
        <v>10</v>
      </c>
      <c r="J50" t="str">
        <f t="shared" si="0"/>
        <v>A2</v>
      </c>
      <c r="K50" s="4">
        <f t="shared" si="1"/>
        <v>172.88135593220338</v>
      </c>
    </row>
    <row r="51" spans="1:11" x14ac:dyDescent="0.3">
      <c r="A51">
        <v>57</v>
      </c>
      <c r="B51" s="1">
        <v>45296</v>
      </c>
      <c r="C51" t="s">
        <v>11</v>
      </c>
      <c r="D51" t="s">
        <v>8</v>
      </c>
      <c r="E51" t="s">
        <v>13</v>
      </c>
      <c r="F51">
        <v>255</v>
      </c>
      <c r="G51">
        <v>57706</v>
      </c>
      <c r="H51">
        <v>25</v>
      </c>
      <c r="I51" t="s">
        <v>10</v>
      </c>
      <c r="J51" t="str">
        <f t="shared" si="0"/>
        <v>A2</v>
      </c>
      <c r="K51" s="4">
        <f t="shared" si="1"/>
        <v>226.29803921568629</v>
      </c>
    </row>
    <row r="52" spans="1:11" x14ac:dyDescent="0.3">
      <c r="A52">
        <v>59</v>
      </c>
      <c r="B52" s="1">
        <v>45453</v>
      </c>
      <c r="C52" t="s">
        <v>14</v>
      </c>
      <c r="D52" t="s">
        <v>8</v>
      </c>
      <c r="E52" t="s">
        <v>22</v>
      </c>
      <c r="F52">
        <v>322</v>
      </c>
      <c r="G52">
        <v>29440</v>
      </c>
      <c r="H52">
        <v>25</v>
      </c>
      <c r="I52" t="s">
        <v>10</v>
      </c>
      <c r="J52" t="str">
        <f t="shared" si="0"/>
        <v>A2</v>
      </c>
      <c r="K52" s="4">
        <f t="shared" si="1"/>
        <v>91.428571428571431</v>
      </c>
    </row>
    <row r="53" spans="1:11" x14ac:dyDescent="0.3">
      <c r="A53">
        <v>60</v>
      </c>
      <c r="B53" s="1">
        <v>45372</v>
      </c>
      <c r="C53" t="s">
        <v>14</v>
      </c>
      <c r="D53" t="s">
        <v>8</v>
      </c>
      <c r="E53" t="s">
        <v>16</v>
      </c>
      <c r="F53">
        <v>178</v>
      </c>
      <c r="G53">
        <v>679</v>
      </c>
      <c r="H53">
        <v>25</v>
      </c>
      <c r="I53" t="s">
        <v>10</v>
      </c>
      <c r="J53" t="str">
        <f t="shared" si="0"/>
        <v>A2</v>
      </c>
      <c r="K53" s="4">
        <f t="shared" si="1"/>
        <v>3.8146067415730336</v>
      </c>
    </row>
    <row r="54" spans="1:11" x14ac:dyDescent="0.3">
      <c r="A54">
        <v>63</v>
      </c>
      <c r="B54" s="1">
        <v>45510</v>
      </c>
      <c r="C54" t="s">
        <v>26</v>
      </c>
      <c r="D54" t="s">
        <v>8</v>
      </c>
      <c r="E54" t="s">
        <v>9</v>
      </c>
      <c r="F54">
        <v>305</v>
      </c>
      <c r="G54">
        <v>3186</v>
      </c>
      <c r="H54">
        <v>25</v>
      </c>
      <c r="I54" t="s">
        <v>10</v>
      </c>
      <c r="J54" t="str">
        <f t="shared" si="0"/>
        <v>A2</v>
      </c>
      <c r="K54" s="4">
        <f t="shared" si="1"/>
        <v>10.445901639344262</v>
      </c>
    </row>
    <row r="55" spans="1:11" x14ac:dyDescent="0.3">
      <c r="A55">
        <v>64</v>
      </c>
      <c r="B55" s="1">
        <v>45432</v>
      </c>
      <c r="C55" t="s">
        <v>11</v>
      </c>
      <c r="D55" t="s">
        <v>8</v>
      </c>
      <c r="E55" t="s">
        <v>22</v>
      </c>
      <c r="F55">
        <v>188</v>
      </c>
      <c r="G55">
        <v>679</v>
      </c>
      <c r="H55">
        <v>25</v>
      </c>
      <c r="I55" t="s">
        <v>10</v>
      </c>
      <c r="J55" t="str">
        <f t="shared" si="0"/>
        <v>A2</v>
      </c>
      <c r="K55" s="4">
        <f t="shared" si="1"/>
        <v>3.6117021276595747</v>
      </c>
    </row>
    <row r="56" spans="1:11" x14ac:dyDescent="0.3">
      <c r="A56">
        <v>76</v>
      </c>
      <c r="B56" s="1">
        <v>45217</v>
      </c>
      <c r="C56" t="s">
        <v>14</v>
      </c>
      <c r="D56" t="s">
        <v>8</v>
      </c>
      <c r="E56" t="s">
        <v>22</v>
      </c>
      <c r="F56">
        <v>208</v>
      </c>
      <c r="G56">
        <v>25758</v>
      </c>
      <c r="H56">
        <v>25</v>
      </c>
      <c r="I56" t="s">
        <v>10</v>
      </c>
      <c r="J56" t="str">
        <f t="shared" si="0"/>
        <v>A2</v>
      </c>
      <c r="K56" s="4">
        <f t="shared" si="1"/>
        <v>123.83653846153847</v>
      </c>
    </row>
    <row r="57" spans="1:11" x14ac:dyDescent="0.3">
      <c r="A57">
        <v>82</v>
      </c>
      <c r="B57" s="1">
        <v>45457</v>
      </c>
      <c r="C57" t="s">
        <v>26</v>
      </c>
      <c r="D57" t="s">
        <v>8</v>
      </c>
      <c r="E57" t="s">
        <v>13</v>
      </c>
      <c r="F57">
        <v>130</v>
      </c>
      <c r="G57">
        <v>16740</v>
      </c>
      <c r="H57">
        <v>25</v>
      </c>
      <c r="I57" t="s">
        <v>10</v>
      </c>
      <c r="J57" t="str">
        <f t="shared" si="0"/>
        <v>A2</v>
      </c>
      <c r="K57" s="4">
        <f t="shared" si="1"/>
        <v>128.76923076923077</v>
      </c>
    </row>
    <row r="58" spans="1:11" x14ac:dyDescent="0.3">
      <c r="A58">
        <v>92</v>
      </c>
      <c r="B58" s="1">
        <v>45329</v>
      </c>
      <c r="C58" t="s">
        <v>7</v>
      </c>
      <c r="D58" t="s">
        <v>8</v>
      </c>
      <c r="E58" t="s">
        <v>16</v>
      </c>
      <c r="F58">
        <v>214</v>
      </c>
      <c r="G58">
        <v>4984</v>
      </c>
      <c r="H58">
        <v>25</v>
      </c>
      <c r="I58" t="s">
        <v>10</v>
      </c>
      <c r="J58" t="str">
        <f t="shared" si="0"/>
        <v>A2</v>
      </c>
      <c r="K58" s="4">
        <f t="shared" si="1"/>
        <v>23.289719626168225</v>
      </c>
    </row>
    <row r="59" spans="1:11" x14ac:dyDescent="0.3">
      <c r="A59">
        <v>97</v>
      </c>
      <c r="B59" s="1">
        <v>45293</v>
      </c>
      <c r="C59" t="s">
        <v>11</v>
      </c>
      <c r="D59" t="s">
        <v>8</v>
      </c>
      <c r="E59" t="s">
        <v>22</v>
      </c>
      <c r="F59">
        <v>368</v>
      </c>
      <c r="G59">
        <v>25254</v>
      </c>
      <c r="H59">
        <v>25</v>
      </c>
      <c r="I59" t="s">
        <v>10</v>
      </c>
      <c r="J59" t="str">
        <f t="shared" si="0"/>
        <v>A2</v>
      </c>
      <c r="K59" s="4">
        <f t="shared" si="1"/>
        <v>68.625</v>
      </c>
    </row>
    <row r="60" spans="1:11" x14ac:dyDescent="0.3">
      <c r="A60">
        <v>101</v>
      </c>
      <c r="B60" s="1">
        <v>45215</v>
      </c>
      <c r="C60" t="s">
        <v>7</v>
      </c>
      <c r="D60" t="s">
        <v>8</v>
      </c>
      <c r="E60" t="s">
        <v>13</v>
      </c>
      <c r="F60">
        <v>384</v>
      </c>
      <c r="G60">
        <v>40565</v>
      </c>
      <c r="H60">
        <v>25</v>
      </c>
      <c r="I60" t="s">
        <v>10</v>
      </c>
      <c r="J60" t="str">
        <f t="shared" si="0"/>
        <v>A2</v>
      </c>
      <c r="K60" s="4">
        <f t="shared" si="1"/>
        <v>105.63802083333333</v>
      </c>
    </row>
    <row r="61" spans="1:11" x14ac:dyDescent="0.3">
      <c r="A61">
        <v>2</v>
      </c>
      <c r="B61" s="1">
        <v>45420</v>
      </c>
      <c r="C61" t="s">
        <v>11</v>
      </c>
      <c r="D61" t="s">
        <v>12</v>
      </c>
      <c r="E61" t="s">
        <v>13</v>
      </c>
      <c r="F61">
        <v>430</v>
      </c>
      <c r="G61">
        <v>66500</v>
      </c>
      <c r="H61">
        <v>52</v>
      </c>
      <c r="I61" t="s">
        <v>10</v>
      </c>
      <c r="J61" t="str">
        <f t="shared" si="0"/>
        <v>A1</v>
      </c>
      <c r="K61" s="4">
        <f t="shared" si="1"/>
        <v>154.65116279069767</v>
      </c>
    </row>
    <row r="62" spans="1:11" x14ac:dyDescent="0.3">
      <c r="A62">
        <v>35</v>
      </c>
      <c r="B62" s="1">
        <v>45214</v>
      </c>
      <c r="C62" t="s">
        <v>11</v>
      </c>
      <c r="D62" t="s">
        <v>12</v>
      </c>
      <c r="E62" t="s">
        <v>16</v>
      </c>
      <c r="F62">
        <v>260</v>
      </c>
      <c r="G62">
        <v>34680</v>
      </c>
      <c r="H62">
        <v>52</v>
      </c>
      <c r="I62" t="s">
        <v>10</v>
      </c>
      <c r="J62" t="str">
        <f t="shared" si="0"/>
        <v>A1</v>
      </c>
      <c r="K62" s="4">
        <f t="shared" si="1"/>
        <v>133.38461538461539</v>
      </c>
    </row>
    <row r="63" spans="1:11" x14ac:dyDescent="0.3">
      <c r="A63">
        <v>40</v>
      </c>
      <c r="B63" s="1">
        <v>45221</v>
      </c>
      <c r="C63" t="s">
        <v>26</v>
      </c>
      <c r="D63" t="s">
        <v>12</v>
      </c>
      <c r="E63" t="s">
        <v>9</v>
      </c>
      <c r="F63">
        <v>165</v>
      </c>
      <c r="G63">
        <v>679</v>
      </c>
      <c r="H63">
        <v>52</v>
      </c>
      <c r="I63" t="s">
        <v>10</v>
      </c>
      <c r="J63" t="str">
        <f t="shared" si="0"/>
        <v>A1</v>
      </c>
      <c r="K63" s="4">
        <f t="shared" si="1"/>
        <v>4.1151515151515152</v>
      </c>
    </row>
    <row r="64" spans="1:11" x14ac:dyDescent="0.3">
      <c r="A64">
        <v>44</v>
      </c>
      <c r="B64" s="1">
        <v>45451</v>
      </c>
      <c r="C64" t="s">
        <v>26</v>
      </c>
      <c r="D64" t="s">
        <v>12</v>
      </c>
      <c r="E64" t="s">
        <v>13</v>
      </c>
      <c r="F64">
        <v>368</v>
      </c>
      <c r="G64">
        <v>46068</v>
      </c>
      <c r="H64">
        <v>52</v>
      </c>
      <c r="I64" t="s">
        <v>10</v>
      </c>
      <c r="J64" t="str">
        <f t="shared" si="0"/>
        <v>A1</v>
      </c>
      <c r="K64" s="4">
        <f t="shared" si="1"/>
        <v>125.18478260869566</v>
      </c>
    </row>
    <row r="65" spans="1:11" x14ac:dyDescent="0.3">
      <c r="A65">
        <v>61</v>
      </c>
      <c r="B65" s="1">
        <v>45286</v>
      </c>
      <c r="C65" t="s">
        <v>11</v>
      </c>
      <c r="D65" t="s">
        <v>12</v>
      </c>
      <c r="E65" t="s">
        <v>9</v>
      </c>
      <c r="F65">
        <v>151</v>
      </c>
      <c r="G65">
        <v>8475</v>
      </c>
      <c r="H65">
        <v>52</v>
      </c>
      <c r="I65" t="s">
        <v>10</v>
      </c>
      <c r="J65" t="str">
        <f t="shared" si="0"/>
        <v>A1</v>
      </c>
      <c r="K65" s="4">
        <f t="shared" si="1"/>
        <v>56.12582781456954</v>
      </c>
    </row>
    <row r="66" spans="1:11" x14ac:dyDescent="0.3">
      <c r="A66">
        <v>74</v>
      </c>
      <c r="B66" s="1">
        <v>45197</v>
      </c>
      <c r="C66" t="s">
        <v>11</v>
      </c>
      <c r="D66" t="s">
        <v>12</v>
      </c>
      <c r="E66" t="s">
        <v>22</v>
      </c>
      <c r="F66">
        <v>213</v>
      </c>
      <c r="G66">
        <v>42028</v>
      </c>
      <c r="H66">
        <v>52</v>
      </c>
      <c r="I66" t="s">
        <v>10</v>
      </c>
      <c r="J66" t="str">
        <f t="shared" si="0"/>
        <v>A1</v>
      </c>
      <c r="K66" s="4">
        <f t="shared" si="1"/>
        <v>197.31455399061034</v>
      </c>
    </row>
    <row r="67" spans="1:11" x14ac:dyDescent="0.3">
      <c r="A67">
        <v>100</v>
      </c>
      <c r="B67" s="1">
        <v>45286</v>
      </c>
      <c r="C67" t="s">
        <v>11</v>
      </c>
      <c r="D67" t="s">
        <v>12</v>
      </c>
      <c r="E67" t="s">
        <v>22</v>
      </c>
      <c r="F67">
        <v>307</v>
      </c>
      <c r="G67">
        <v>679</v>
      </c>
      <c r="H67">
        <v>52</v>
      </c>
      <c r="I67" t="s">
        <v>10</v>
      </c>
      <c r="J67" t="str">
        <f t="shared" ref="J67:J121" si="2">IF(H67&gt;35,"A1",IF(H67&lt;45,"A2","A3"))</f>
        <v>A1</v>
      </c>
      <c r="K67" s="4">
        <f t="shared" ref="K67:K121" si="3">G67/F67</f>
        <v>2.2117263843648209</v>
      </c>
    </row>
    <row r="68" spans="1:11" x14ac:dyDescent="0.3">
      <c r="A68">
        <v>110</v>
      </c>
      <c r="B68" s="1">
        <v>45383</v>
      </c>
      <c r="C68" t="s">
        <v>11</v>
      </c>
      <c r="D68" t="s">
        <v>12</v>
      </c>
      <c r="E68" t="s">
        <v>16</v>
      </c>
      <c r="F68">
        <v>155</v>
      </c>
      <c r="G68">
        <v>11092</v>
      </c>
      <c r="H68">
        <v>52</v>
      </c>
      <c r="I68" t="s">
        <v>10</v>
      </c>
      <c r="J68" t="str">
        <f t="shared" si="2"/>
        <v>A1</v>
      </c>
      <c r="K68" s="4">
        <f t="shared" si="3"/>
        <v>71.561290322580646</v>
      </c>
    </row>
    <row r="69" spans="1:11" x14ac:dyDescent="0.3">
      <c r="A69">
        <v>4</v>
      </c>
      <c r="B69" s="1">
        <v>45214</v>
      </c>
      <c r="C69" t="s">
        <v>11</v>
      </c>
      <c r="D69" t="s">
        <v>18</v>
      </c>
      <c r="E69" t="s">
        <v>16</v>
      </c>
      <c r="F69">
        <v>459</v>
      </c>
      <c r="G69">
        <v>17069</v>
      </c>
      <c r="H69">
        <v>57</v>
      </c>
      <c r="I69" t="s">
        <v>27</v>
      </c>
      <c r="J69" t="str">
        <f t="shared" si="2"/>
        <v>A1</v>
      </c>
      <c r="K69" s="4">
        <f t="shared" si="3"/>
        <v>37.187363834422655</v>
      </c>
    </row>
    <row r="70" spans="1:11" x14ac:dyDescent="0.3">
      <c r="A70">
        <v>24</v>
      </c>
      <c r="B70" s="1">
        <v>45296</v>
      </c>
      <c r="C70" t="s">
        <v>7</v>
      </c>
      <c r="D70" t="s">
        <v>18</v>
      </c>
      <c r="E70" t="s">
        <v>16</v>
      </c>
      <c r="F70">
        <v>458</v>
      </c>
      <c r="G70">
        <v>42873</v>
      </c>
      <c r="H70">
        <v>57</v>
      </c>
      <c r="I70" t="s">
        <v>27</v>
      </c>
      <c r="J70" t="str">
        <f t="shared" si="2"/>
        <v>A1</v>
      </c>
      <c r="K70" s="4">
        <f t="shared" si="3"/>
        <v>93.609170305676855</v>
      </c>
    </row>
    <row r="71" spans="1:11" x14ac:dyDescent="0.3">
      <c r="A71">
        <v>28</v>
      </c>
      <c r="B71" s="1">
        <v>45286</v>
      </c>
      <c r="C71" t="s">
        <v>11</v>
      </c>
      <c r="D71" t="s">
        <v>18</v>
      </c>
      <c r="E71" t="s">
        <v>9</v>
      </c>
      <c r="F71">
        <v>444</v>
      </c>
      <c r="G71">
        <v>7272</v>
      </c>
      <c r="H71">
        <v>57</v>
      </c>
      <c r="I71" t="s">
        <v>27</v>
      </c>
      <c r="J71" t="str">
        <f t="shared" si="2"/>
        <v>A1</v>
      </c>
      <c r="K71" s="4">
        <f t="shared" si="3"/>
        <v>16.378378378378379</v>
      </c>
    </row>
    <row r="72" spans="1:11" x14ac:dyDescent="0.3">
      <c r="A72">
        <v>47</v>
      </c>
      <c r="B72" s="1">
        <v>45228</v>
      </c>
      <c r="C72" t="s">
        <v>26</v>
      </c>
      <c r="D72" t="s">
        <v>18</v>
      </c>
      <c r="E72" t="s">
        <v>9</v>
      </c>
      <c r="F72">
        <v>288</v>
      </c>
      <c r="G72">
        <v>33284</v>
      </c>
      <c r="H72">
        <v>57</v>
      </c>
      <c r="I72" t="s">
        <v>27</v>
      </c>
      <c r="J72" t="str">
        <f t="shared" si="2"/>
        <v>A1</v>
      </c>
      <c r="K72" s="4">
        <f t="shared" si="3"/>
        <v>115.56944444444444</v>
      </c>
    </row>
    <row r="73" spans="1:11" x14ac:dyDescent="0.3">
      <c r="A73">
        <v>51</v>
      </c>
      <c r="B73" s="1">
        <v>45364</v>
      </c>
      <c r="C73" t="s">
        <v>7</v>
      </c>
      <c r="D73" t="s">
        <v>18</v>
      </c>
      <c r="E73" t="s">
        <v>16</v>
      </c>
      <c r="F73">
        <v>358</v>
      </c>
      <c r="G73">
        <v>13568</v>
      </c>
      <c r="H73">
        <v>57</v>
      </c>
      <c r="I73" t="s">
        <v>27</v>
      </c>
      <c r="J73" t="str">
        <f t="shared" si="2"/>
        <v>A1</v>
      </c>
      <c r="K73" s="4">
        <f t="shared" si="3"/>
        <v>37.899441340782126</v>
      </c>
    </row>
    <row r="74" spans="1:11" x14ac:dyDescent="0.3">
      <c r="A74">
        <v>62</v>
      </c>
      <c r="B74" s="1">
        <v>45350</v>
      </c>
      <c r="C74" t="s">
        <v>11</v>
      </c>
      <c r="D74" t="s">
        <v>18</v>
      </c>
      <c r="E74" t="s">
        <v>16</v>
      </c>
      <c r="F74">
        <v>535</v>
      </c>
      <c r="G74">
        <v>44330</v>
      </c>
      <c r="H74">
        <v>57</v>
      </c>
      <c r="I74" t="s">
        <v>27</v>
      </c>
      <c r="J74" t="str">
        <f t="shared" si="2"/>
        <v>A1</v>
      </c>
      <c r="K74" s="4">
        <f t="shared" si="3"/>
        <v>82.859813084112147</v>
      </c>
    </row>
    <row r="75" spans="1:11" x14ac:dyDescent="0.3">
      <c r="A75">
        <v>80</v>
      </c>
      <c r="B75" s="1">
        <v>45350</v>
      </c>
      <c r="C75" t="s">
        <v>7</v>
      </c>
      <c r="D75" t="s">
        <v>18</v>
      </c>
      <c r="E75" t="s">
        <v>16</v>
      </c>
      <c r="F75">
        <v>380</v>
      </c>
      <c r="G75">
        <v>44525</v>
      </c>
      <c r="H75">
        <v>57</v>
      </c>
      <c r="I75" t="s">
        <v>27</v>
      </c>
      <c r="J75" t="str">
        <f t="shared" si="2"/>
        <v>A1</v>
      </c>
      <c r="K75" s="4">
        <f t="shared" si="3"/>
        <v>117.17105263157895</v>
      </c>
    </row>
    <row r="76" spans="1:11" x14ac:dyDescent="0.3">
      <c r="A76">
        <v>98</v>
      </c>
      <c r="B76" s="1">
        <v>45282</v>
      </c>
      <c r="C76" t="s">
        <v>11</v>
      </c>
      <c r="D76" t="s">
        <v>18</v>
      </c>
      <c r="E76" t="s">
        <v>16</v>
      </c>
      <c r="F76">
        <v>222</v>
      </c>
      <c r="G76">
        <v>17500</v>
      </c>
      <c r="H76">
        <v>57</v>
      </c>
      <c r="I76" t="s">
        <v>27</v>
      </c>
      <c r="J76" t="str">
        <f t="shared" si="2"/>
        <v>A1</v>
      </c>
      <c r="K76" s="4">
        <f t="shared" si="3"/>
        <v>78.828828828828833</v>
      </c>
    </row>
    <row r="77" spans="1:11" x14ac:dyDescent="0.3">
      <c r="A77">
        <v>103</v>
      </c>
      <c r="B77" s="1">
        <v>45274</v>
      </c>
      <c r="C77" t="s">
        <v>26</v>
      </c>
      <c r="D77" t="s">
        <v>18</v>
      </c>
      <c r="E77" t="s">
        <v>9</v>
      </c>
      <c r="F77">
        <v>97</v>
      </c>
      <c r="G77">
        <v>679</v>
      </c>
      <c r="H77">
        <v>57</v>
      </c>
      <c r="I77" t="s">
        <v>27</v>
      </c>
      <c r="J77" t="str">
        <f t="shared" si="2"/>
        <v>A1</v>
      </c>
      <c r="K77" s="4">
        <f t="shared" si="3"/>
        <v>7</v>
      </c>
    </row>
    <row r="78" spans="1:11" x14ac:dyDescent="0.3">
      <c r="A78">
        <v>114</v>
      </c>
      <c r="B78" s="1">
        <v>45233</v>
      </c>
      <c r="C78" t="s">
        <v>14</v>
      </c>
      <c r="D78" t="s">
        <v>18</v>
      </c>
      <c r="E78" t="s">
        <v>9</v>
      </c>
      <c r="F78">
        <v>126</v>
      </c>
      <c r="G78">
        <v>40446</v>
      </c>
      <c r="H78">
        <v>57</v>
      </c>
      <c r="I78" t="s">
        <v>27</v>
      </c>
      <c r="J78" t="str">
        <f t="shared" si="2"/>
        <v>A1</v>
      </c>
      <c r="K78" s="4">
        <f t="shared" si="3"/>
        <v>321</v>
      </c>
    </row>
    <row r="79" spans="1:11" x14ac:dyDescent="0.3">
      <c r="A79">
        <v>119</v>
      </c>
      <c r="B79" s="1">
        <v>45305</v>
      </c>
      <c r="C79" t="s">
        <v>11</v>
      </c>
      <c r="D79" t="s">
        <v>18</v>
      </c>
      <c r="E79" t="s">
        <v>22</v>
      </c>
      <c r="F79">
        <v>199</v>
      </c>
      <c r="G79">
        <v>56118</v>
      </c>
      <c r="H79">
        <v>57</v>
      </c>
      <c r="I79" t="s">
        <v>27</v>
      </c>
      <c r="J79" t="str">
        <f t="shared" si="2"/>
        <v>A1</v>
      </c>
      <c r="K79" s="4">
        <f t="shared" si="3"/>
        <v>282</v>
      </c>
    </row>
    <row r="80" spans="1:11" x14ac:dyDescent="0.3">
      <c r="A80">
        <v>9</v>
      </c>
      <c r="B80" s="1">
        <v>45217</v>
      </c>
      <c r="C80" t="s">
        <v>11</v>
      </c>
      <c r="D80" t="s">
        <v>23</v>
      </c>
      <c r="E80" t="s">
        <v>22</v>
      </c>
      <c r="F80">
        <v>55</v>
      </c>
      <c r="G80">
        <v>25893</v>
      </c>
      <c r="H80">
        <v>42</v>
      </c>
      <c r="I80" t="s">
        <v>17</v>
      </c>
      <c r="J80" t="str">
        <f t="shared" si="2"/>
        <v>A1</v>
      </c>
      <c r="K80" s="4">
        <f t="shared" si="3"/>
        <v>470.78181818181821</v>
      </c>
    </row>
    <row r="81" spans="1:11" x14ac:dyDescent="0.3">
      <c r="A81">
        <v>10</v>
      </c>
      <c r="B81" s="1">
        <v>45508</v>
      </c>
      <c r="C81" t="s">
        <v>11</v>
      </c>
      <c r="D81" t="s">
        <v>23</v>
      </c>
      <c r="E81" t="s">
        <v>9</v>
      </c>
      <c r="F81">
        <v>396</v>
      </c>
      <c r="G81">
        <v>38480</v>
      </c>
      <c r="H81">
        <v>42</v>
      </c>
      <c r="I81" t="s">
        <v>17</v>
      </c>
      <c r="J81" t="str">
        <f t="shared" si="2"/>
        <v>A1</v>
      </c>
      <c r="K81" s="4">
        <f t="shared" si="3"/>
        <v>97.171717171717177</v>
      </c>
    </row>
    <row r="82" spans="1:11" x14ac:dyDescent="0.3">
      <c r="A82">
        <v>15</v>
      </c>
      <c r="B82" s="1">
        <v>45398</v>
      </c>
      <c r="C82" t="s">
        <v>14</v>
      </c>
      <c r="D82" t="s">
        <v>23</v>
      </c>
      <c r="E82" t="s">
        <v>9</v>
      </c>
      <c r="F82">
        <v>383</v>
      </c>
      <c r="G82">
        <v>39008</v>
      </c>
      <c r="H82">
        <v>42</v>
      </c>
      <c r="I82" t="s">
        <v>17</v>
      </c>
      <c r="J82" t="str">
        <f t="shared" si="2"/>
        <v>A1</v>
      </c>
      <c r="K82" s="4">
        <f t="shared" si="3"/>
        <v>101.8485639686684</v>
      </c>
    </row>
    <row r="83" spans="1:11" x14ac:dyDescent="0.3">
      <c r="A83">
        <v>17</v>
      </c>
      <c r="B83" s="1">
        <v>45215</v>
      </c>
      <c r="C83" t="s">
        <v>11</v>
      </c>
      <c r="D83" t="s">
        <v>23</v>
      </c>
      <c r="E83" t="s">
        <v>16</v>
      </c>
      <c r="F83">
        <v>240</v>
      </c>
      <c r="G83">
        <v>65052</v>
      </c>
      <c r="H83">
        <v>42</v>
      </c>
      <c r="I83" t="s">
        <v>17</v>
      </c>
      <c r="J83" t="str">
        <f t="shared" si="2"/>
        <v>A1</v>
      </c>
      <c r="K83" s="4">
        <f t="shared" si="3"/>
        <v>271.05</v>
      </c>
    </row>
    <row r="84" spans="1:11" x14ac:dyDescent="0.3">
      <c r="A84">
        <v>20</v>
      </c>
      <c r="B84" s="1">
        <v>45254</v>
      </c>
      <c r="C84" t="s">
        <v>11</v>
      </c>
      <c r="D84" t="s">
        <v>23</v>
      </c>
      <c r="E84" t="s">
        <v>22</v>
      </c>
      <c r="F84">
        <v>331</v>
      </c>
      <c r="G84">
        <v>27140</v>
      </c>
      <c r="H84">
        <v>42</v>
      </c>
      <c r="I84" t="s">
        <v>17</v>
      </c>
      <c r="J84" t="str">
        <f t="shared" si="2"/>
        <v>A1</v>
      </c>
      <c r="K84" s="4">
        <f t="shared" si="3"/>
        <v>81.993957703927492</v>
      </c>
    </row>
    <row r="85" spans="1:11" x14ac:dyDescent="0.3">
      <c r="A85">
        <v>21</v>
      </c>
      <c r="B85" s="1">
        <v>45304</v>
      </c>
      <c r="C85" t="s">
        <v>7</v>
      </c>
      <c r="D85" t="s">
        <v>23</v>
      </c>
      <c r="E85" t="s">
        <v>16</v>
      </c>
      <c r="F85">
        <v>250</v>
      </c>
      <c r="G85">
        <v>11385</v>
      </c>
      <c r="H85">
        <v>42</v>
      </c>
      <c r="I85" t="s">
        <v>17</v>
      </c>
      <c r="J85" t="str">
        <f t="shared" si="2"/>
        <v>A1</v>
      </c>
      <c r="K85" s="4">
        <f t="shared" si="3"/>
        <v>45.54</v>
      </c>
    </row>
    <row r="86" spans="1:11" x14ac:dyDescent="0.3">
      <c r="A86">
        <v>26</v>
      </c>
      <c r="B86" s="1">
        <v>45530</v>
      </c>
      <c r="C86" t="s">
        <v>11</v>
      </c>
      <c r="D86" t="s">
        <v>23</v>
      </c>
      <c r="E86" t="s">
        <v>9</v>
      </c>
      <c r="F86">
        <v>406</v>
      </c>
      <c r="G86">
        <v>47880</v>
      </c>
      <c r="H86">
        <v>42</v>
      </c>
      <c r="I86" t="s">
        <v>17</v>
      </c>
      <c r="J86" t="str">
        <f t="shared" si="2"/>
        <v>A1</v>
      </c>
      <c r="K86" s="4">
        <f t="shared" si="3"/>
        <v>117.93103448275862</v>
      </c>
    </row>
    <row r="87" spans="1:11" x14ac:dyDescent="0.3">
      <c r="A87">
        <v>27</v>
      </c>
      <c r="B87" s="1">
        <v>45511</v>
      </c>
      <c r="C87" t="s">
        <v>11</v>
      </c>
      <c r="D87" t="s">
        <v>23</v>
      </c>
      <c r="E87" t="s">
        <v>22</v>
      </c>
      <c r="F87">
        <v>422</v>
      </c>
      <c r="G87">
        <v>13490</v>
      </c>
      <c r="H87">
        <v>42</v>
      </c>
      <c r="I87" t="s">
        <v>17</v>
      </c>
      <c r="J87" t="str">
        <f t="shared" si="2"/>
        <v>A1</v>
      </c>
      <c r="K87" s="4">
        <f t="shared" si="3"/>
        <v>31.966824644549764</v>
      </c>
    </row>
    <row r="88" spans="1:11" x14ac:dyDescent="0.3">
      <c r="A88">
        <v>29</v>
      </c>
      <c r="B88" s="1">
        <v>45339</v>
      </c>
      <c r="C88" t="s">
        <v>11</v>
      </c>
      <c r="D88" t="s">
        <v>23</v>
      </c>
      <c r="E88" t="s">
        <v>22</v>
      </c>
      <c r="F88">
        <v>499</v>
      </c>
      <c r="G88">
        <v>48316</v>
      </c>
      <c r="H88">
        <v>42</v>
      </c>
      <c r="I88" t="s">
        <v>17</v>
      </c>
      <c r="J88" t="str">
        <f t="shared" si="2"/>
        <v>A1</v>
      </c>
      <c r="K88" s="4">
        <f t="shared" si="3"/>
        <v>96.825651302605209</v>
      </c>
    </row>
    <row r="89" spans="1:11" x14ac:dyDescent="0.3">
      <c r="A89">
        <v>31</v>
      </c>
      <c r="B89" s="1">
        <v>45543</v>
      </c>
      <c r="C89" t="s">
        <v>14</v>
      </c>
      <c r="D89" t="s">
        <v>23</v>
      </c>
      <c r="E89" t="s">
        <v>22</v>
      </c>
      <c r="F89">
        <v>369</v>
      </c>
      <c r="G89">
        <v>5246</v>
      </c>
      <c r="H89">
        <v>42</v>
      </c>
      <c r="I89" t="s">
        <v>17</v>
      </c>
      <c r="J89" t="str">
        <f t="shared" si="2"/>
        <v>A1</v>
      </c>
      <c r="K89" s="4">
        <f t="shared" si="3"/>
        <v>14.21680216802168</v>
      </c>
    </row>
    <row r="90" spans="1:11" x14ac:dyDescent="0.3">
      <c r="A90">
        <v>32</v>
      </c>
      <c r="B90" s="1">
        <v>45371</v>
      </c>
      <c r="C90" t="s">
        <v>26</v>
      </c>
      <c r="D90" t="s">
        <v>23</v>
      </c>
      <c r="E90" t="s">
        <v>9</v>
      </c>
      <c r="F90">
        <v>389</v>
      </c>
      <c r="G90">
        <v>37744</v>
      </c>
      <c r="H90">
        <v>42</v>
      </c>
      <c r="I90" t="s">
        <v>17</v>
      </c>
      <c r="J90" t="str">
        <f t="shared" si="2"/>
        <v>A1</v>
      </c>
      <c r="K90" s="4">
        <f t="shared" si="3"/>
        <v>97.028277634961441</v>
      </c>
    </row>
    <row r="91" spans="1:11" x14ac:dyDescent="0.3">
      <c r="A91">
        <v>38</v>
      </c>
      <c r="B91" s="1">
        <v>45467</v>
      </c>
      <c r="C91" t="s">
        <v>11</v>
      </c>
      <c r="D91" t="s">
        <v>23</v>
      </c>
      <c r="E91" t="s">
        <v>22</v>
      </c>
      <c r="F91">
        <v>115</v>
      </c>
      <c r="G91">
        <v>14076</v>
      </c>
      <c r="H91">
        <v>42</v>
      </c>
      <c r="I91" t="s">
        <v>17</v>
      </c>
      <c r="J91" t="str">
        <f t="shared" si="2"/>
        <v>A1</v>
      </c>
      <c r="K91" s="4">
        <f t="shared" si="3"/>
        <v>122.4</v>
      </c>
    </row>
    <row r="92" spans="1:11" x14ac:dyDescent="0.3">
      <c r="A92">
        <v>41</v>
      </c>
      <c r="B92" s="1">
        <v>45407</v>
      </c>
      <c r="C92" t="s">
        <v>11</v>
      </c>
      <c r="D92" t="s">
        <v>23</v>
      </c>
      <c r="E92" t="s">
        <v>13</v>
      </c>
      <c r="F92">
        <v>51</v>
      </c>
      <c r="G92">
        <v>35280</v>
      </c>
      <c r="H92">
        <v>42</v>
      </c>
      <c r="I92" t="s">
        <v>17</v>
      </c>
      <c r="J92" t="str">
        <f t="shared" si="2"/>
        <v>A1</v>
      </c>
      <c r="K92" s="4">
        <f t="shared" si="3"/>
        <v>691.76470588235293</v>
      </c>
    </row>
    <row r="93" spans="1:11" x14ac:dyDescent="0.3">
      <c r="A93">
        <v>42</v>
      </c>
      <c r="B93" s="1">
        <v>45424</v>
      </c>
      <c r="C93" t="s">
        <v>14</v>
      </c>
      <c r="D93" t="s">
        <v>23</v>
      </c>
      <c r="E93" t="s">
        <v>9</v>
      </c>
      <c r="F93">
        <v>382</v>
      </c>
      <c r="G93">
        <v>37490</v>
      </c>
      <c r="H93">
        <v>42</v>
      </c>
      <c r="I93" t="s">
        <v>17</v>
      </c>
      <c r="J93" t="str">
        <f t="shared" si="2"/>
        <v>A1</v>
      </c>
      <c r="K93" s="4">
        <f t="shared" si="3"/>
        <v>98.141361256544499</v>
      </c>
    </row>
    <row r="94" spans="1:11" x14ac:dyDescent="0.3">
      <c r="A94">
        <v>43</v>
      </c>
      <c r="B94" s="1">
        <v>45252</v>
      </c>
      <c r="C94" t="s">
        <v>14</v>
      </c>
      <c r="D94" t="s">
        <v>23</v>
      </c>
      <c r="E94" t="s">
        <v>9</v>
      </c>
      <c r="F94">
        <v>354</v>
      </c>
      <c r="G94">
        <v>679</v>
      </c>
      <c r="H94">
        <v>42</v>
      </c>
      <c r="I94" t="s">
        <v>17</v>
      </c>
      <c r="J94" t="str">
        <f t="shared" si="2"/>
        <v>A1</v>
      </c>
      <c r="K94" s="4">
        <f t="shared" si="3"/>
        <v>1.9180790960451977</v>
      </c>
    </row>
    <row r="95" spans="1:11" x14ac:dyDescent="0.3">
      <c r="A95">
        <v>52</v>
      </c>
      <c r="B95" s="1">
        <v>45350</v>
      </c>
      <c r="C95" t="s">
        <v>7</v>
      </c>
      <c r="D95" t="s">
        <v>23</v>
      </c>
      <c r="E95" t="s">
        <v>16</v>
      </c>
      <c r="F95">
        <v>343</v>
      </c>
      <c r="G95">
        <v>33344</v>
      </c>
      <c r="H95">
        <v>42</v>
      </c>
      <c r="I95" t="s">
        <v>17</v>
      </c>
      <c r="J95" t="str">
        <f t="shared" si="2"/>
        <v>A1</v>
      </c>
      <c r="K95" s="4">
        <f t="shared" si="3"/>
        <v>97.212827988338191</v>
      </c>
    </row>
    <row r="96" spans="1:11" x14ac:dyDescent="0.3">
      <c r="A96">
        <v>53</v>
      </c>
      <c r="B96" s="1">
        <v>45216</v>
      </c>
      <c r="C96" t="s">
        <v>26</v>
      </c>
      <c r="D96" t="s">
        <v>23</v>
      </c>
      <c r="E96" t="s">
        <v>16</v>
      </c>
      <c r="F96">
        <v>63</v>
      </c>
      <c r="G96">
        <v>3960</v>
      </c>
      <c r="H96">
        <v>42</v>
      </c>
      <c r="I96" t="s">
        <v>17</v>
      </c>
      <c r="J96" t="str">
        <f t="shared" si="2"/>
        <v>A1</v>
      </c>
      <c r="K96" s="4">
        <f t="shared" si="3"/>
        <v>62.857142857142854</v>
      </c>
    </row>
    <row r="97" spans="1:11" x14ac:dyDescent="0.3">
      <c r="A97">
        <v>55</v>
      </c>
      <c r="B97" s="1">
        <v>45549</v>
      </c>
      <c r="C97" t="s">
        <v>7</v>
      </c>
      <c r="D97" t="s">
        <v>23</v>
      </c>
      <c r="E97" t="s">
        <v>13</v>
      </c>
      <c r="F97">
        <v>491</v>
      </c>
      <c r="G97">
        <v>59458</v>
      </c>
      <c r="H97">
        <v>42</v>
      </c>
      <c r="I97" t="s">
        <v>17</v>
      </c>
      <c r="J97" t="str">
        <f t="shared" si="2"/>
        <v>A1</v>
      </c>
      <c r="K97" s="4">
        <f t="shared" si="3"/>
        <v>121.09572301425662</v>
      </c>
    </row>
    <row r="98" spans="1:11" x14ac:dyDescent="0.3">
      <c r="A98">
        <v>56</v>
      </c>
      <c r="B98" s="1">
        <v>45193</v>
      </c>
      <c r="C98" t="s">
        <v>11</v>
      </c>
      <c r="D98" t="s">
        <v>23</v>
      </c>
      <c r="E98" t="s">
        <v>9</v>
      </c>
      <c r="F98">
        <v>344</v>
      </c>
      <c r="G98">
        <v>13872</v>
      </c>
      <c r="H98">
        <v>42</v>
      </c>
      <c r="I98" t="s">
        <v>17</v>
      </c>
      <c r="J98" t="str">
        <f t="shared" si="2"/>
        <v>A1</v>
      </c>
      <c r="K98" s="4">
        <f t="shared" si="3"/>
        <v>40.325581395348834</v>
      </c>
    </row>
    <row r="99" spans="1:11" x14ac:dyDescent="0.3">
      <c r="A99">
        <v>58</v>
      </c>
      <c r="B99" s="1">
        <v>45292</v>
      </c>
      <c r="C99" t="s">
        <v>7</v>
      </c>
      <c r="D99" t="s">
        <v>23</v>
      </c>
      <c r="E99" t="s">
        <v>9</v>
      </c>
      <c r="F99">
        <v>160</v>
      </c>
      <c r="G99">
        <v>59248</v>
      </c>
      <c r="H99">
        <v>42</v>
      </c>
      <c r="I99" t="s">
        <v>17</v>
      </c>
      <c r="J99" t="str">
        <f t="shared" si="2"/>
        <v>A1</v>
      </c>
      <c r="K99" s="4">
        <f t="shared" si="3"/>
        <v>370.3</v>
      </c>
    </row>
    <row r="100" spans="1:11" x14ac:dyDescent="0.3">
      <c r="A100">
        <v>65</v>
      </c>
      <c r="B100" s="1">
        <v>45378</v>
      </c>
      <c r="C100" t="s">
        <v>26</v>
      </c>
      <c r="D100" t="s">
        <v>23</v>
      </c>
      <c r="E100" t="s">
        <v>9</v>
      </c>
      <c r="F100">
        <v>495</v>
      </c>
      <c r="G100">
        <v>679</v>
      </c>
      <c r="H100">
        <v>42</v>
      </c>
      <c r="I100" t="s">
        <v>17</v>
      </c>
      <c r="J100" t="str">
        <f t="shared" si="2"/>
        <v>A1</v>
      </c>
      <c r="K100" s="4">
        <f t="shared" si="3"/>
        <v>1.3717171717171717</v>
      </c>
    </row>
    <row r="101" spans="1:11" x14ac:dyDescent="0.3">
      <c r="A101">
        <v>70</v>
      </c>
      <c r="B101" s="1">
        <v>45232</v>
      </c>
      <c r="C101" t="s">
        <v>14</v>
      </c>
      <c r="D101" t="s">
        <v>23</v>
      </c>
      <c r="E101" t="s">
        <v>13</v>
      </c>
      <c r="F101">
        <v>335</v>
      </c>
      <c r="G101">
        <v>36984</v>
      </c>
      <c r="H101">
        <v>42</v>
      </c>
      <c r="I101" t="s">
        <v>17</v>
      </c>
      <c r="J101" t="str">
        <f t="shared" si="2"/>
        <v>A1</v>
      </c>
      <c r="K101" s="4">
        <f t="shared" si="3"/>
        <v>110.4</v>
      </c>
    </row>
    <row r="102" spans="1:11" x14ac:dyDescent="0.3">
      <c r="A102">
        <v>72</v>
      </c>
      <c r="B102" s="1">
        <v>45356</v>
      </c>
      <c r="C102" t="s">
        <v>14</v>
      </c>
      <c r="D102" t="s">
        <v>23</v>
      </c>
      <c r="E102" t="s">
        <v>13</v>
      </c>
      <c r="F102">
        <v>218</v>
      </c>
      <c r="G102">
        <v>7125</v>
      </c>
      <c r="H102">
        <v>42</v>
      </c>
      <c r="I102" t="s">
        <v>17</v>
      </c>
      <c r="J102" t="str">
        <f t="shared" si="2"/>
        <v>A1</v>
      </c>
      <c r="K102" s="4">
        <f t="shared" si="3"/>
        <v>32.683486238532112</v>
      </c>
    </row>
    <row r="103" spans="1:11" x14ac:dyDescent="0.3">
      <c r="A103">
        <v>73</v>
      </c>
      <c r="B103" s="1">
        <v>45506</v>
      </c>
      <c r="C103" t="s">
        <v>11</v>
      </c>
      <c r="D103" t="s">
        <v>23</v>
      </c>
      <c r="E103" t="s">
        <v>16</v>
      </c>
      <c r="F103">
        <v>265</v>
      </c>
      <c r="G103">
        <v>12320</v>
      </c>
      <c r="H103">
        <v>42</v>
      </c>
      <c r="I103" t="s">
        <v>17</v>
      </c>
      <c r="J103" t="str">
        <f t="shared" si="2"/>
        <v>A1</v>
      </c>
      <c r="K103" s="4">
        <f t="shared" si="3"/>
        <v>46.490566037735846</v>
      </c>
    </row>
    <row r="104" spans="1:11" x14ac:dyDescent="0.3">
      <c r="A104">
        <v>77</v>
      </c>
      <c r="B104" s="1">
        <v>45478</v>
      </c>
      <c r="C104" t="s">
        <v>11</v>
      </c>
      <c r="D104" t="s">
        <v>23</v>
      </c>
      <c r="E104" t="s">
        <v>13</v>
      </c>
      <c r="F104">
        <v>115</v>
      </c>
      <c r="G104">
        <v>34804</v>
      </c>
      <c r="H104">
        <v>42</v>
      </c>
      <c r="I104" t="s">
        <v>17</v>
      </c>
      <c r="J104" t="str">
        <f t="shared" si="2"/>
        <v>A1</v>
      </c>
      <c r="K104" s="4">
        <f t="shared" si="3"/>
        <v>302.64347826086959</v>
      </c>
    </row>
    <row r="105" spans="1:11" x14ac:dyDescent="0.3">
      <c r="A105">
        <v>79</v>
      </c>
      <c r="B105" s="1">
        <v>45544</v>
      </c>
      <c r="C105" t="s">
        <v>26</v>
      </c>
      <c r="D105" t="s">
        <v>23</v>
      </c>
      <c r="E105" t="s">
        <v>16</v>
      </c>
      <c r="F105">
        <v>519</v>
      </c>
      <c r="G105">
        <v>45312</v>
      </c>
      <c r="H105">
        <v>42</v>
      </c>
      <c r="I105" t="s">
        <v>17</v>
      </c>
      <c r="J105" t="str">
        <f t="shared" si="2"/>
        <v>A1</v>
      </c>
      <c r="K105" s="4">
        <f t="shared" si="3"/>
        <v>87.306358381502889</v>
      </c>
    </row>
    <row r="106" spans="1:11" x14ac:dyDescent="0.3">
      <c r="A106">
        <v>81</v>
      </c>
      <c r="B106" s="1">
        <v>45335</v>
      </c>
      <c r="C106" t="s">
        <v>26</v>
      </c>
      <c r="D106" t="s">
        <v>23</v>
      </c>
      <c r="E106" t="s">
        <v>9</v>
      </c>
      <c r="F106">
        <v>32</v>
      </c>
      <c r="G106">
        <v>3132</v>
      </c>
      <c r="H106">
        <v>42</v>
      </c>
      <c r="I106" t="s">
        <v>17</v>
      </c>
      <c r="J106" t="str">
        <f t="shared" si="2"/>
        <v>A1</v>
      </c>
      <c r="K106" s="4">
        <f t="shared" si="3"/>
        <v>97.875</v>
      </c>
    </row>
    <row r="107" spans="1:11" x14ac:dyDescent="0.3">
      <c r="A107">
        <v>85</v>
      </c>
      <c r="B107" s="1">
        <v>45309</v>
      </c>
      <c r="C107" t="s">
        <v>11</v>
      </c>
      <c r="D107" t="s">
        <v>23</v>
      </c>
      <c r="E107" t="s">
        <v>22</v>
      </c>
      <c r="F107">
        <v>192</v>
      </c>
      <c r="G107">
        <v>18648</v>
      </c>
      <c r="H107">
        <v>42</v>
      </c>
      <c r="I107" t="s">
        <v>17</v>
      </c>
      <c r="J107" t="str">
        <f t="shared" si="2"/>
        <v>A1</v>
      </c>
      <c r="K107" s="4">
        <f t="shared" si="3"/>
        <v>97.125</v>
      </c>
    </row>
    <row r="108" spans="1:11" x14ac:dyDescent="0.3">
      <c r="A108">
        <v>87</v>
      </c>
      <c r="B108" s="1">
        <v>45330</v>
      </c>
      <c r="C108" t="s">
        <v>11</v>
      </c>
      <c r="D108" t="s">
        <v>23</v>
      </c>
      <c r="E108" t="s">
        <v>13</v>
      </c>
      <c r="F108">
        <v>209</v>
      </c>
      <c r="G108">
        <v>51221</v>
      </c>
      <c r="H108">
        <v>42</v>
      </c>
      <c r="I108" t="s">
        <v>17</v>
      </c>
      <c r="J108" t="str">
        <f t="shared" si="2"/>
        <v>A1</v>
      </c>
      <c r="K108" s="4">
        <f t="shared" si="3"/>
        <v>245.07655502392345</v>
      </c>
    </row>
    <row r="109" spans="1:11" x14ac:dyDescent="0.3">
      <c r="A109">
        <v>91</v>
      </c>
      <c r="B109" s="1">
        <v>45444</v>
      </c>
      <c r="C109" t="s">
        <v>14</v>
      </c>
      <c r="D109" t="s">
        <v>23</v>
      </c>
      <c r="E109" t="s">
        <v>16</v>
      </c>
      <c r="F109">
        <v>386</v>
      </c>
      <c r="G109">
        <v>47952</v>
      </c>
      <c r="H109">
        <v>42</v>
      </c>
      <c r="I109" t="s">
        <v>17</v>
      </c>
      <c r="J109" t="str">
        <f t="shared" si="2"/>
        <v>A1</v>
      </c>
      <c r="K109" s="4">
        <f t="shared" si="3"/>
        <v>124.2279792746114</v>
      </c>
    </row>
    <row r="110" spans="1:11" x14ac:dyDescent="0.3">
      <c r="A110">
        <v>95</v>
      </c>
      <c r="B110" s="1">
        <v>45521</v>
      </c>
      <c r="C110" t="s">
        <v>14</v>
      </c>
      <c r="D110" t="s">
        <v>23</v>
      </c>
      <c r="E110" t="s">
        <v>13</v>
      </c>
      <c r="F110">
        <v>306</v>
      </c>
      <c r="G110">
        <v>679</v>
      </c>
      <c r="H110">
        <v>42</v>
      </c>
      <c r="I110" t="s">
        <v>17</v>
      </c>
      <c r="J110" t="str">
        <f t="shared" si="2"/>
        <v>A1</v>
      </c>
      <c r="K110" s="4">
        <f t="shared" si="3"/>
        <v>2.2189542483660132</v>
      </c>
    </row>
    <row r="111" spans="1:11" x14ac:dyDescent="0.3">
      <c r="A111">
        <v>99</v>
      </c>
      <c r="B111" s="1">
        <v>45464</v>
      </c>
      <c r="C111" t="s">
        <v>11</v>
      </c>
      <c r="D111" t="s">
        <v>23</v>
      </c>
      <c r="E111" t="s">
        <v>22</v>
      </c>
      <c r="F111">
        <v>216</v>
      </c>
      <c r="G111">
        <v>36934</v>
      </c>
      <c r="H111">
        <v>42</v>
      </c>
      <c r="I111" t="s">
        <v>17</v>
      </c>
      <c r="J111" t="str">
        <f t="shared" si="2"/>
        <v>A1</v>
      </c>
      <c r="K111" s="4">
        <f t="shared" si="3"/>
        <v>170.99074074074073</v>
      </c>
    </row>
    <row r="112" spans="1:11" x14ac:dyDescent="0.3">
      <c r="A112">
        <v>104</v>
      </c>
      <c r="B112" s="1">
        <v>45243</v>
      </c>
      <c r="C112" t="s">
        <v>11</v>
      </c>
      <c r="D112" t="s">
        <v>23</v>
      </c>
      <c r="E112" t="s">
        <v>16</v>
      </c>
      <c r="F112">
        <v>359</v>
      </c>
      <c r="G112">
        <v>12753</v>
      </c>
      <c r="H112">
        <v>42</v>
      </c>
      <c r="I112" t="s">
        <v>17</v>
      </c>
      <c r="J112" t="str">
        <f t="shared" si="2"/>
        <v>A1</v>
      </c>
      <c r="K112" s="4">
        <f t="shared" si="3"/>
        <v>35.523676880222844</v>
      </c>
    </row>
    <row r="113" spans="1:11" x14ac:dyDescent="0.3">
      <c r="A113">
        <v>105</v>
      </c>
      <c r="B113" s="1">
        <v>45350</v>
      </c>
      <c r="C113" t="s">
        <v>14</v>
      </c>
      <c r="D113" t="s">
        <v>23</v>
      </c>
      <c r="E113" t="s">
        <v>16</v>
      </c>
      <c r="F113">
        <v>318</v>
      </c>
      <c r="G113">
        <v>16864</v>
      </c>
      <c r="H113">
        <v>42</v>
      </c>
      <c r="I113" t="s">
        <v>17</v>
      </c>
      <c r="J113" t="str">
        <f t="shared" si="2"/>
        <v>A1</v>
      </c>
      <c r="K113" s="4">
        <f t="shared" si="3"/>
        <v>53.031446540880502</v>
      </c>
    </row>
    <row r="114" spans="1:11" x14ac:dyDescent="0.3">
      <c r="A114">
        <v>106</v>
      </c>
      <c r="B114" s="1">
        <v>45392</v>
      </c>
      <c r="C114" t="s">
        <v>7</v>
      </c>
      <c r="D114" t="s">
        <v>23</v>
      </c>
      <c r="E114" t="s">
        <v>9</v>
      </c>
      <c r="F114">
        <v>51</v>
      </c>
      <c r="G114">
        <v>56888</v>
      </c>
      <c r="H114">
        <v>42</v>
      </c>
      <c r="I114" t="s">
        <v>17</v>
      </c>
      <c r="J114" t="str">
        <f t="shared" si="2"/>
        <v>A1</v>
      </c>
      <c r="K114" s="4">
        <f t="shared" si="3"/>
        <v>1115.4509803921569</v>
      </c>
    </row>
    <row r="115" spans="1:11" x14ac:dyDescent="0.3">
      <c r="A115">
        <v>108</v>
      </c>
      <c r="B115" s="1">
        <v>45264</v>
      </c>
      <c r="C115" t="s">
        <v>11</v>
      </c>
      <c r="D115" t="s">
        <v>23</v>
      </c>
      <c r="E115" t="s">
        <v>9</v>
      </c>
      <c r="F115">
        <v>214</v>
      </c>
      <c r="G115">
        <v>31122</v>
      </c>
      <c r="H115">
        <v>42</v>
      </c>
      <c r="I115" t="s">
        <v>17</v>
      </c>
      <c r="J115" t="str">
        <f t="shared" si="2"/>
        <v>A1</v>
      </c>
      <c r="K115" s="4">
        <f t="shared" si="3"/>
        <v>145.42990654205607</v>
      </c>
    </row>
    <row r="116" spans="1:11" x14ac:dyDescent="0.3">
      <c r="A116">
        <v>118</v>
      </c>
      <c r="B116" s="1">
        <v>45273</v>
      </c>
      <c r="C116" t="s">
        <v>11</v>
      </c>
      <c r="D116" t="s">
        <v>23</v>
      </c>
      <c r="E116" t="s">
        <v>9</v>
      </c>
      <c r="F116">
        <v>289</v>
      </c>
      <c r="G116">
        <v>24948</v>
      </c>
      <c r="H116">
        <v>42</v>
      </c>
      <c r="I116" t="s">
        <v>17</v>
      </c>
      <c r="J116" t="str">
        <f t="shared" si="2"/>
        <v>A1</v>
      </c>
      <c r="K116" s="4">
        <f t="shared" si="3"/>
        <v>86.325259515570934</v>
      </c>
    </row>
    <row r="117" spans="1:11" x14ac:dyDescent="0.3">
      <c r="A117">
        <v>3</v>
      </c>
      <c r="B117" s="1">
        <v>45504</v>
      </c>
      <c r="C117" t="s">
        <v>14</v>
      </c>
      <c r="D117" t="s">
        <v>15</v>
      </c>
      <c r="E117" t="s">
        <v>16</v>
      </c>
      <c r="F117">
        <v>478</v>
      </c>
      <c r="G117">
        <v>76076</v>
      </c>
      <c r="H117">
        <v>36</v>
      </c>
      <c r="I117" t="s">
        <v>17</v>
      </c>
      <c r="J117" t="str">
        <f t="shared" si="2"/>
        <v>A1</v>
      </c>
      <c r="K117" s="4">
        <f t="shared" si="3"/>
        <v>159.15481171548117</v>
      </c>
    </row>
    <row r="118" spans="1:11" x14ac:dyDescent="0.3">
      <c r="A118">
        <v>39</v>
      </c>
      <c r="B118" s="1">
        <v>45489</v>
      </c>
      <c r="C118" t="s">
        <v>14</v>
      </c>
      <c r="D118" t="s">
        <v>15</v>
      </c>
      <c r="E118" t="s">
        <v>9</v>
      </c>
      <c r="F118">
        <v>248</v>
      </c>
      <c r="G118">
        <v>12870</v>
      </c>
      <c r="H118">
        <v>36</v>
      </c>
      <c r="I118" t="s">
        <v>17</v>
      </c>
      <c r="J118" t="str">
        <f t="shared" si="2"/>
        <v>A1</v>
      </c>
      <c r="K118" s="4">
        <f t="shared" si="3"/>
        <v>51.895161290322584</v>
      </c>
    </row>
    <row r="119" spans="1:11" x14ac:dyDescent="0.3">
      <c r="A119">
        <v>45</v>
      </c>
      <c r="B119" s="1">
        <v>45458</v>
      </c>
      <c r="C119" t="s">
        <v>11</v>
      </c>
      <c r="D119" t="s">
        <v>15</v>
      </c>
      <c r="E119" t="s">
        <v>22</v>
      </c>
      <c r="F119">
        <v>79</v>
      </c>
      <c r="G119">
        <v>11078</v>
      </c>
      <c r="H119">
        <v>36</v>
      </c>
      <c r="I119" t="s">
        <v>17</v>
      </c>
      <c r="J119" t="str">
        <f t="shared" si="2"/>
        <v>A1</v>
      </c>
      <c r="K119" s="4">
        <f t="shared" si="3"/>
        <v>140.22784810126583</v>
      </c>
    </row>
    <row r="120" spans="1:11" x14ac:dyDescent="0.3">
      <c r="A120">
        <v>69</v>
      </c>
      <c r="B120" s="1">
        <v>45532</v>
      </c>
      <c r="C120" t="s">
        <v>26</v>
      </c>
      <c r="D120" t="s">
        <v>15</v>
      </c>
      <c r="E120" t="s">
        <v>13</v>
      </c>
      <c r="F120">
        <v>183</v>
      </c>
      <c r="G120">
        <v>679</v>
      </c>
      <c r="H120">
        <v>36</v>
      </c>
      <c r="I120" t="s">
        <v>17</v>
      </c>
      <c r="J120" t="str">
        <f t="shared" si="2"/>
        <v>A1</v>
      </c>
      <c r="K120" s="4">
        <f t="shared" si="3"/>
        <v>3.7103825136612021</v>
      </c>
    </row>
    <row r="121" spans="1:11" x14ac:dyDescent="0.3">
      <c r="A121">
        <v>120</v>
      </c>
      <c r="B121" s="1">
        <v>45361</v>
      </c>
      <c r="C121" t="s">
        <v>26</v>
      </c>
      <c r="D121" t="s">
        <v>15</v>
      </c>
      <c r="E121" t="s">
        <v>9</v>
      </c>
      <c r="F121">
        <v>497</v>
      </c>
      <c r="G121">
        <v>46548</v>
      </c>
      <c r="H121">
        <v>36</v>
      </c>
      <c r="I121" t="s">
        <v>17</v>
      </c>
      <c r="J121" t="str">
        <f t="shared" si="2"/>
        <v>A1</v>
      </c>
      <c r="K121" s="4">
        <f t="shared" si="3"/>
        <v>93.6579476861167</v>
      </c>
    </row>
  </sheetData>
  <autoFilter ref="A1:H121" xr:uid="{00000000-0001-0000-0000-000000000000}">
    <sortState xmlns:xlrd2="http://schemas.microsoft.com/office/spreadsheetml/2017/richdata2" ref="A2:H121">
      <sortCondition ref="D1:D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vt:lpstr>
      <vt:lpstr>Pivot 2</vt:lpstr>
      <vt:lpstr>Pivot 3</vt:lpstr>
      <vt:lpstr>Pivot 4</vt:lpstr>
      <vt:lpstr>Pivot 5</vt:lpstr>
      <vt:lpstr>Main 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Sai Kalyan</cp:lastModifiedBy>
  <dcterms:created xsi:type="dcterms:W3CDTF">2015-06-05T18:17:20Z</dcterms:created>
  <dcterms:modified xsi:type="dcterms:W3CDTF">2026-02-11T10:57:11Z</dcterms:modified>
</cp:coreProperties>
</file>